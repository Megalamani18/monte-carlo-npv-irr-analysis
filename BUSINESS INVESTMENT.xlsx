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0fc194ff4d6bee/Documents/"/>
    </mc:Choice>
  </mc:AlternateContent>
  <xr:revisionPtr revIDLastSave="0" documentId="8_{4011B01A-C128-445E-8AE0-F12E4B730AE7}" xr6:coauthVersionLast="47" xr6:coauthVersionMax="47" xr10:uidLastSave="{00000000-0000-0000-0000-000000000000}"/>
  <bookViews>
    <workbookView xWindow="2350" yWindow="1210" windowWidth="16380" windowHeight="8510" xr2:uid="{EA587094-E8A3-42F3-90B7-5E4020A2F77A}"/>
  </bookViews>
  <sheets>
    <sheet name="Sheet1" sheetId="1" r:id="rId1"/>
  </sheets>
  <definedNames>
    <definedName name="_xlchart.v1.0" hidden="1">Sheet1!$G$24</definedName>
    <definedName name="_xlchart.v1.1" hidden="1">Sheet1!$G$25:$G$1025</definedName>
    <definedName name="_xlchart.v1.2" hidden="1">Sheet1!$F$24</definedName>
    <definedName name="_xlchart.v1.3" hidden="1">Sheet1!$F$25:$F$1025</definedName>
    <definedName name="_xlchart.v1.4" hidden="1">Sheet1!$G$24</definedName>
    <definedName name="_xlchart.v1.5" hidden="1">Sheet1!$G$25:$G$1025</definedName>
    <definedName name="_xlchart.v1.6" hidden="1">Sheet1!$G$24</definedName>
    <definedName name="_xlchart.v1.7" hidden="1">Sheet1!$G$25:$G$1025</definedName>
    <definedName name="_xlchart.v1.8" hidden="1">Sheet1!$G$24</definedName>
    <definedName name="_xlchart.v1.9" hidden="1">Sheet1!$G$25:$G$1025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3" i="1" l="1"/>
  <c r="C15" i="1"/>
  <c r="C16" i="1"/>
  <c r="C18" i="1"/>
  <c r="C19" i="1"/>
  <c r="C20" i="1"/>
  <c r="C21" i="1"/>
  <c r="C22" i="1"/>
  <c r="C23" i="1"/>
  <c r="C14" i="1"/>
  <c r="C24" i="1" l="1"/>
  <c r="F25" i="1" s="1"/>
  <c r="F8" i="1" s="1"/>
  <c r="C25" i="1"/>
  <c r="G25" i="1" s="1"/>
  <c r="G8" i="1" s="1"/>
  <c r="G10" i="1" l="1"/>
  <c r="F10" i="1"/>
  <c r="G9" i="1"/>
  <c r="G7" i="1"/>
  <c r="F7" i="1"/>
  <c r="F9" i="1"/>
  <c r="G5" i="1"/>
  <c r="G6" i="1"/>
  <c r="G4" i="1"/>
  <c r="F5" i="1"/>
  <c r="F6" i="1"/>
  <c r="F4" i="1"/>
</calcChain>
</file>

<file path=xl/sharedStrings.xml><?xml version="1.0" encoding="utf-8"?>
<sst xmlns="http://schemas.openxmlformats.org/spreadsheetml/2006/main" count="26" uniqueCount="22">
  <si>
    <t>Cash Flow</t>
  </si>
  <si>
    <t>Cost of Capital</t>
  </si>
  <si>
    <t>Probablity Distribution</t>
  </si>
  <si>
    <t>Year</t>
  </si>
  <si>
    <t>NPV</t>
  </si>
  <si>
    <t>IRR</t>
  </si>
  <si>
    <t>Replication</t>
  </si>
  <si>
    <t>Project Details</t>
  </si>
  <si>
    <t>Statistic</t>
  </si>
  <si>
    <t>Mean</t>
  </si>
  <si>
    <t>Median</t>
  </si>
  <si>
    <t>Maximum</t>
  </si>
  <si>
    <t>Minimum</t>
  </si>
  <si>
    <t>Risk of Loss of Value</t>
  </si>
  <si>
    <t>Skewness</t>
  </si>
  <si>
    <t>Kurtosis</t>
  </si>
  <si>
    <t xml:space="preserve">Business Proposal for Fintech Payment &amp; Insurance Platform for Airlines </t>
  </si>
  <si>
    <t>Life of the project</t>
  </si>
  <si>
    <t>Normal</t>
  </si>
  <si>
    <t>Initial investment ('GBP000)</t>
  </si>
  <si>
    <t>Cash Flow (mean) ('GBP000)</t>
  </si>
  <si>
    <t>Standard Deviation ('GBP000)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</si>
</sst>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_-[$£-809]* #,##0.00_-;\-[$£-809]* #,##0.00_-;_-[$£-809]* &quot;-&quot;??_-;_-@_-"/>
    <numFmt numFmtId="165" formatCode="&quot;£&quot;#,##0.00"/>
    <numFmt numFmtId="166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9" fontId="0" fillId="0" borderId="0" xfId="2" applyFont="1"/>
    <xf numFmtId="0" fontId="0" fillId="0" borderId="2" xfId="0" applyBorder="1"/>
    <xf numFmtId="0" fontId="0" fillId="2" borderId="1" xfId="0" applyFill="1" applyBorder="1"/>
    <xf numFmtId="165" fontId="0" fillId="0" borderId="0" xfId="1" applyNumberFormat="1" applyFont="1" applyBorder="1"/>
    <xf numFmtId="0" fontId="0" fillId="0" borderId="0" xfId="0" applyAlignment="1">
      <alignment horizontal="center"/>
    </xf>
    <xf numFmtId="9" fontId="0" fillId="0" borderId="2" xfId="0" applyNumberFormat="1" applyBorder="1"/>
    <xf numFmtId="0" fontId="0" fillId="2" borderId="0" xfId="0" applyFill="1"/>
    <xf numFmtId="0" fontId="0" fillId="3" borderId="2" xfId="0" applyFill="1" applyBorder="1"/>
    <xf numFmtId="166" fontId="0" fillId="0" borderId="0" xfId="0" applyNumberFormat="1"/>
    <xf numFmtId="0" fontId="0" fillId="0" borderId="2" xfId="0" applyBorder="1" applyAlignment="1">
      <alignment horizontal="right"/>
    </xf>
    <xf numFmtId="0" fontId="2" fillId="2" borderId="0" xfId="0" applyFont="1" applyFill="1"/>
    <xf numFmtId="164" fontId="2" fillId="0" borderId="0" xfId="0" applyNumberFormat="1" applyFont="1"/>
    <xf numFmtId="9" fontId="2" fillId="0" borderId="0" xfId="2" applyFont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7" xfId="0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wrapText="1" indent="1"/>
    </xf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NPV Probablity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NPV Probablity Distribution</a:t>
          </a:r>
        </a:p>
      </cx:txPr>
    </cx:title>
    <cx:plotArea>
      <cx:plotAreaRegion>
        <cx:series layoutId="clusteredColumn" uniqueId="{1704968B-4465-466B-935A-FBAE326E3091}">
          <cx:tx>
            <cx:txData>
              <cx:f>_xlchart.v1.2</cx:f>
              <cx:v>NPV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IRR Probablity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IRR Probablity Distribution</a:t>
          </a:r>
        </a:p>
      </cx:txPr>
    </cx:title>
    <cx:plotArea>
      <cx:plotAreaRegion>
        <cx:series layoutId="clusteredColumn" uniqueId="{9656B24B-D0E0-40AB-BC1D-277A075A3E1B}">
          <cx:tx>
            <cx:txData>
              <cx:f>_xlchart.v1.4</cx:f>
              <cx:v>IRR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Spin" dx="31" fmlaLink="$C$6" inc="10" max="30000" min="10" page="10" val="50"/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594387</xdr:colOff>
      <xdr:row>10</xdr:row>
      <xdr:rowOff>151848</xdr:rowOff>
    </xdr:from>
    <xdr:to>
      <xdr:col>11</xdr:col>
      <xdr:colOff>48315</xdr:colOff>
      <xdr:row>27</xdr:row>
      <xdr:rowOff>136656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9DE3AC4-1466-A5DF-B6D7-E9315B2EAE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1137" y="2012398"/>
              <a:ext cx="5784878" cy="31217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384955</xdr:colOff>
      <xdr:row>10</xdr:row>
      <xdr:rowOff>154940</xdr:rowOff>
    </xdr:from>
    <xdr:to>
      <xdr:col>20</xdr:col>
      <xdr:colOff>561730</xdr:colOff>
      <xdr:row>27</xdr:row>
      <xdr:rowOff>135389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E7FE0D7-AE3D-FAC9-6CC6-F511C070F5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26237" y="2027376"/>
              <a:ext cx="5777801" cy="3163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1720850</xdr:colOff>
          <xdr:row>4</xdr:row>
          <xdr:rowOff>139700</xdr:rowOff>
        </xdr:from>
        <xdr:to>
          <xdr:col>2</xdr:col>
          <xdr:colOff>425450</xdr:colOff>
          <xdr:row>6</xdr:row>
          <xdr:rowOff>82550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0A57-9C4B-4E92-ACBD-013AC1A87686}">
  <dimension ref="B2:M1025"/>
  <sheetViews>
    <sheetView showGridLines="0" tabSelected="1" topLeftCell="E3" zoomScale="78" zoomScaleNormal="175" workbookViewId="0">
      <selection activeCell="P7" sqref="P7"/>
    </sheetView>
  </sheetViews>
  <sheetFormatPr defaultRowHeight="14.5" x14ac:dyDescent="0.35"/>
  <cols>
    <col min="2" max="2" width="24.90625" bestFit="1" customWidth="1"/>
    <col min="3" max="3" width="12.26953125" bestFit="1" customWidth="1"/>
    <col min="5" max="5" width="17.90625" bestFit="1" customWidth="1"/>
    <col min="6" max="6" width="15.6328125" bestFit="1" customWidth="1"/>
    <col min="7" max="7" width="13.453125" bestFit="1" customWidth="1"/>
    <col min="12" max="12" width="10.26953125" bestFit="1" customWidth="1"/>
  </cols>
  <sheetData>
    <row r="2" spans="2:11" ht="15" thickBot="1" x14ac:dyDescent="0.4"/>
    <row r="3" spans="2:11" x14ac:dyDescent="0.35">
      <c r="B3" s="18" t="s">
        <v>7</v>
      </c>
      <c r="C3" s="18"/>
      <c r="E3" s="6" t="s">
        <v>8</v>
      </c>
      <c r="F3" s="6" t="s">
        <v>4</v>
      </c>
      <c r="G3" s="6" t="s">
        <v>5</v>
      </c>
      <c r="I3" s="19" t="s">
        <v>16</v>
      </c>
      <c r="J3" s="20"/>
      <c r="K3" s="21"/>
    </row>
    <row r="4" spans="2:11" x14ac:dyDescent="0.35">
      <c r="B4" t="s">
        <v>19</v>
      </c>
      <c r="C4" s="1">
        <v>-760</v>
      </c>
      <c r="E4" t="s">
        <v>9</v>
      </c>
      <c r="F4" s="7">
        <f ca="1">AVERAGE($F$25:$F$1025)</f>
        <v>434.11008307832287</v>
      </c>
      <c r="G4" s="2">
        <f ca="1">AVERAGE($G$25:$G$1025)</f>
        <v>0.22168852542527945</v>
      </c>
      <c r="I4" s="22"/>
      <c r="J4" s="23"/>
      <c r="K4" s="24"/>
    </row>
    <row r="5" spans="2:11" x14ac:dyDescent="0.35">
      <c r="B5" t="s">
        <v>20</v>
      </c>
      <c r="C5" s="1">
        <v>194</v>
      </c>
      <c r="E5" t="s">
        <v>10</v>
      </c>
      <c r="F5" s="7">
        <f ca="1">MEDIAN($F$25:$F$1025)</f>
        <v>435.92286264278209</v>
      </c>
      <c r="G5" s="2">
        <f ca="1">MEDIAN($G$25:$G$1025)</f>
        <v>0.22142366301249705</v>
      </c>
      <c r="I5" s="22"/>
      <c r="J5" s="23"/>
      <c r="K5" s="24"/>
    </row>
    <row r="6" spans="2:11" x14ac:dyDescent="0.35">
      <c r="B6" t="s">
        <v>21</v>
      </c>
      <c r="C6" s="1">
        <v>50</v>
      </c>
      <c r="E6" t="s">
        <v>11</v>
      </c>
      <c r="F6" s="7">
        <f ca="1">MAX($F$25:$F$1025)</f>
        <v>809.04234100729082</v>
      </c>
      <c r="G6" s="2">
        <f ca="1">MAX($G$25:$G$1025)</f>
        <v>0.32588884839397236</v>
      </c>
      <c r="I6" s="22"/>
      <c r="J6" s="23"/>
      <c r="K6" s="24"/>
    </row>
    <row r="7" spans="2:11" x14ac:dyDescent="0.35">
      <c r="B7" t="s">
        <v>1</v>
      </c>
      <c r="C7" s="2">
        <v>0.1</v>
      </c>
      <c r="E7" t="s">
        <v>12</v>
      </c>
      <c r="F7" s="7">
        <f ca="1">MIN($F$25:$F$1025)</f>
        <v>100.60207989996343</v>
      </c>
      <c r="G7" s="2">
        <f ca="1">MIN($G$25:$G$1025)</f>
        <v>0.12822361750670086</v>
      </c>
      <c r="I7" s="22"/>
      <c r="J7" s="23"/>
      <c r="K7" s="24"/>
    </row>
    <row r="8" spans="2:11" x14ac:dyDescent="0.35">
      <c r="B8" t="s">
        <v>17</v>
      </c>
      <c r="C8" s="1">
        <v>10</v>
      </c>
      <c r="E8" t="s">
        <v>13</v>
      </c>
      <c r="F8">
        <f ca="1">COUNTIF($F$25:$F$1025,"&lt;0")/1000</f>
        <v>0</v>
      </c>
      <c r="G8">
        <f ca="1">COUNTIF($G$25:$G$1025,"&lt;0")/1000</f>
        <v>0</v>
      </c>
      <c r="I8" s="22"/>
      <c r="J8" s="23"/>
      <c r="K8" s="24"/>
    </row>
    <row r="9" spans="2:11" ht="15" thickBot="1" x14ac:dyDescent="0.4">
      <c r="B9" s="5" t="s">
        <v>2</v>
      </c>
      <c r="C9" s="13" t="s">
        <v>18</v>
      </c>
      <c r="E9" t="s">
        <v>14</v>
      </c>
      <c r="F9">
        <f ca="1">SKEW($F$25:$F$1025)</f>
        <v>-2.2334294420994077E-3</v>
      </c>
      <c r="G9">
        <f ca="1">SKEW($G$25:$G$1025)</f>
        <v>0.10550789955677406</v>
      </c>
      <c r="I9" s="22"/>
      <c r="J9" s="23"/>
      <c r="K9" s="24"/>
    </row>
    <row r="10" spans="2:11" ht="15" thickBot="1" x14ac:dyDescent="0.4">
      <c r="E10" s="5" t="s">
        <v>15</v>
      </c>
      <c r="F10" s="5">
        <f ca="1">KURT($F$25:$F$1025)</f>
        <v>-0.10326125456855539</v>
      </c>
      <c r="G10" s="5">
        <f ca="1">KURT($G$25:$G$1025)</f>
        <v>-9.4280555798746946E-2</v>
      </c>
      <c r="I10" s="25"/>
      <c r="J10" s="26"/>
      <c r="K10" s="27"/>
    </row>
    <row r="12" spans="2:11" x14ac:dyDescent="0.35">
      <c r="B12" s="6" t="s">
        <v>3</v>
      </c>
      <c r="C12" s="6" t="s">
        <v>0</v>
      </c>
    </row>
    <row r="13" spans="2:11" x14ac:dyDescent="0.35">
      <c r="B13" s="8">
        <v>0</v>
      </c>
      <c r="C13" s="1">
        <f>$C$4</f>
        <v>-760</v>
      </c>
    </row>
    <row r="14" spans="2:11" x14ac:dyDescent="0.35">
      <c r="B14" s="8">
        <v>1</v>
      </c>
      <c r="C14" s="12">
        <f ca="1">_xlfn.NORM.INV(RAND(),$C$5,$C$6)</f>
        <v>313.60619271345251</v>
      </c>
    </row>
    <row r="15" spans="2:11" x14ac:dyDescent="0.35">
      <c r="B15" s="8">
        <v>2</v>
      </c>
      <c r="C15" s="12">
        <f t="shared" ref="C15:C23" ca="1" si="0">_xlfn.NORM.INV(RAND(),$C$5,$C$6)</f>
        <v>209.30021917322367</v>
      </c>
    </row>
    <row r="16" spans="2:11" x14ac:dyDescent="0.35">
      <c r="B16" s="8">
        <v>3</v>
      </c>
      <c r="C16" s="12">
        <f t="shared" ca="1" si="0"/>
        <v>182.4277870439382</v>
      </c>
    </row>
    <row r="17" spans="2:13" x14ac:dyDescent="0.35">
      <c r="B17" s="8">
        <v>4</v>
      </c>
      <c r="C17" s="12">
        <f ca="1">_xlfn.NORM.INV(RAND(),$C$5,$C$6)</f>
        <v>294.6299019531823</v>
      </c>
    </row>
    <row r="18" spans="2:13" x14ac:dyDescent="0.35">
      <c r="B18" s="8">
        <v>5</v>
      </c>
      <c r="C18" s="12">
        <f t="shared" ca="1" si="0"/>
        <v>144.88974790834175</v>
      </c>
    </row>
    <row r="19" spans="2:13" x14ac:dyDescent="0.35">
      <c r="B19" s="8">
        <v>6</v>
      </c>
      <c r="C19" s="12">
        <f t="shared" ca="1" si="0"/>
        <v>143.72925627106073</v>
      </c>
    </row>
    <row r="20" spans="2:13" x14ac:dyDescent="0.35">
      <c r="B20" s="8">
        <v>7</v>
      </c>
      <c r="C20" s="12">
        <f t="shared" ca="1" si="0"/>
        <v>238.56089426243625</v>
      </c>
    </row>
    <row r="21" spans="2:13" x14ac:dyDescent="0.35">
      <c r="B21" s="8">
        <v>8</v>
      </c>
      <c r="C21" s="12">
        <f t="shared" ca="1" si="0"/>
        <v>236.10753906531787</v>
      </c>
    </row>
    <row r="22" spans="2:13" x14ac:dyDescent="0.35">
      <c r="B22" s="8">
        <v>9</v>
      </c>
      <c r="C22" s="12">
        <f t="shared" ca="1" si="0"/>
        <v>265.51480356799539</v>
      </c>
      <c r="L22" s="1"/>
      <c r="M22" s="2"/>
    </row>
    <row r="23" spans="2:13" x14ac:dyDescent="0.35">
      <c r="B23" s="8">
        <v>10</v>
      </c>
      <c r="C23" s="12">
        <f t="shared" ca="1" si="0"/>
        <v>177.96228728764851</v>
      </c>
    </row>
    <row r="24" spans="2:13" x14ac:dyDescent="0.35">
      <c r="B24" s="10" t="s">
        <v>4</v>
      </c>
      <c r="C24" s="1">
        <f ca="1">C13+NPV($C$7,C14:C23)</f>
        <v>621.24709313699441</v>
      </c>
      <c r="E24" s="14"/>
      <c r="F24" s="14" t="s">
        <v>4</v>
      </c>
      <c r="G24" s="14" t="s">
        <v>5</v>
      </c>
    </row>
    <row r="25" spans="2:13" ht="15" thickBot="1" x14ac:dyDescent="0.4">
      <c r="B25" s="11" t="s">
        <v>5</v>
      </c>
      <c r="C25" s="9">
        <f ca="1">IRR(C13:C23,3%)</f>
        <v>0.28167209142925564</v>
      </c>
      <c r="E25" s="14" t="s">
        <v>6</v>
      </c>
      <c r="F25" s="15">
        <f ca="1">$C$24</f>
        <v>621.24709313699441</v>
      </c>
      <c r="G25" s="16">
        <f ca="1">$C$25</f>
        <v>0.28167209142925564</v>
      </c>
    </row>
    <row r="26" spans="2:13" x14ac:dyDescent="0.35">
      <c r="E26" s="17">
        <v>1</v>
      </c>
      <c r="F26" s="15">
        <f t="dataTable" ref="F26:G1025" dt2D="0" dtr="0" r1="I19" ca="1"/>
        <v>380.58463004066471</v>
      </c>
      <c r="G26" s="16">
        <v>0.21568663484820405</v>
      </c>
    </row>
    <row r="27" spans="2:13" x14ac:dyDescent="0.35">
      <c r="E27" s="17">
        <v>2</v>
      </c>
      <c r="F27" s="15">
        <v>530.51911360486088</v>
      </c>
      <c r="G27" s="16">
        <v>0.2486786122324971</v>
      </c>
    </row>
    <row r="28" spans="2:13" x14ac:dyDescent="0.35">
      <c r="E28" s="17">
        <v>3</v>
      </c>
      <c r="F28" s="15">
        <v>394.04648473683255</v>
      </c>
      <c r="G28" s="16">
        <v>0.19386486070794473</v>
      </c>
    </row>
    <row r="29" spans="2:13" x14ac:dyDescent="0.35">
      <c r="E29" s="17">
        <v>4</v>
      </c>
      <c r="F29" s="15">
        <v>462.877060773229</v>
      </c>
      <c r="G29" s="16">
        <v>0.23227557744686034</v>
      </c>
    </row>
    <row r="30" spans="2:13" x14ac:dyDescent="0.35">
      <c r="E30" s="17">
        <v>5</v>
      </c>
      <c r="F30" s="15">
        <v>441.53044685730424</v>
      </c>
      <c r="G30" s="16">
        <v>0.21079494267590415</v>
      </c>
    </row>
    <row r="31" spans="2:13" x14ac:dyDescent="0.35">
      <c r="E31" s="17">
        <v>6</v>
      </c>
      <c r="F31" s="15">
        <v>194.93340580902986</v>
      </c>
      <c r="G31" s="16">
        <v>0.15736062220500413</v>
      </c>
    </row>
    <row r="32" spans="2:13" x14ac:dyDescent="0.35">
      <c r="E32" s="17">
        <v>7</v>
      </c>
      <c r="F32" s="15">
        <v>393.30305951709397</v>
      </c>
      <c r="G32" s="16">
        <v>0.22023006441714954</v>
      </c>
    </row>
    <row r="33" spans="5:7" x14ac:dyDescent="0.35">
      <c r="E33" s="17">
        <v>8</v>
      </c>
      <c r="F33" s="15">
        <v>613.04068798467256</v>
      </c>
      <c r="G33" s="16">
        <v>0.27464175485826292</v>
      </c>
    </row>
    <row r="34" spans="5:7" x14ac:dyDescent="0.35">
      <c r="E34" s="17">
        <v>9</v>
      </c>
      <c r="F34" s="15">
        <v>451.2247004285789</v>
      </c>
      <c r="G34" s="16">
        <v>0.2350422307838349</v>
      </c>
    </row>
    <row r="35" spans="5:7" x14ac:dyDescent="0.35">
      <c r="E35" s="17">
        <v>10</v>
      </c>
      <c r="F35" s="15">
        <v>429.54203844802214</v>
      </c>
      <c r="G35" s="16">
        <v>0.22409054152355301</v>
      </c>
    </row>
    <row r="36" spans="5:7" x14ac:dyDescent="0.35">
      <c r="E36">
        <v>11</v>
      </c>
      <c r="F36" s="3">
        <v>343.21808800551412</v>
      </c>
      <c r="G36" s="4">
        <v>0.1889791262843119</v>
      </c>
    </row>
    <row r="37" spans="5:7" x14ac:dyDescent="0.35">
      <c r="E37">
        <v>12</v>
      </c>
      <c r="F37" s="3">
        <v>418.02155560342203</v>
      </c>
      <c r="G37" s="4">
        <v>0.21651220370607893</v>
      </c>
    </row>
    <row r="38" spans="5:7" x14ac:dyDescent="0.35">
      <c r="E38">
        <v>13</v>
      </c>
      <c r="F38" s="3">
        <v>430.81984942534086</v>
      </c>
      <c r="G38" s="4">
        <v>0.23084487205782733</v>
      </c>
    </row>
    <row r="39" spans="5:7" x14ac:dyDescent="0.35">
      <c r="E39">
        <v>14</v>
      </c>
      <c r="F39" s="3">
        <v>422.56240403688844</v>
      </c>
      <c r="G39" s="4">
        <v>0.21806148781134471</v>
      </c>
    </row>
    <row r="40" spans="5:7" x14ac:dyDescent="0.35">
      <c r="E40">
        <v>15</v>
      </c>
      <c r="F40" s="3">
        <v>455.83003639084973</v>
      </c>
      <c r="G40" s="4">
        <v>0.22842900288859758</v>
      </c>
    </row>
    <row r="41" spans="5:7" x14ac:dyDescent="0.35">
      <c r="E41">
        <v>16</v>
      </c>
      <c r="F41" s="3">
        <v>592.60225982122574</v>
      </c>
      <c r="G41" s="4">
        <v>0.27772515520855134</v>
      </c>
    </row>
    <row r="42" spans="5:7" x14ac:dyDescent="0.35">
      <c r="E42">
        <v>17</v>
      </c>
      <c r="F42" s="3">
        <v>445.34402829746568</v>
      </c>
      <c r="G42" s="4">
        <v>0.22491619196959389</v>
      </c>
    </row>
    <row r="43" spans="5:7" x14ac:dyDescent="0.35">
      <c r="E43">
        <v>18</v>
      </c>
      <c r="F43" s="3">
        <v>474.12974888848566</v>
      </c>
      <c r="G43" s="4">
        <v>0.22740324619529506</v>
      </c>
    </row>
    <row r="44" spans="5:7" x14ac:dyDescent="0.35">
      <c r="E44">
        <v>19</v>
      </c>
      <c r="F44" s="3">
        <v>465.12346434783581</v>
      </c>
      <c r="G44" s="4">
        <v>0.22082327379099342</v>
      </c>
    </row>
    <row r="45" spans="5:7" x14ac:dyDescent="0.35">
      <c r="E45">
        <v>20</v>
      </c>
      <c r="F45" s="3">
        <v>391.68305597375843</v>
      </c>
      <c r="G45" s="4">
        <v>0.21722705021592104</v>
      </c>
    </row>
    <row r="46" spans="5:7" x14ac:dyDescent="0.35">
      <c r="E46">
        <v>21</v>
      </c>
      <c r="F46" s="3">
        <v>437.30233886660631</v>
      </c>
      <c r="G46" s="4">
        <v>0.239209258552463</v>
      </c>
    </row>
    <row r="47" spans="5:7" x14ac:dyDescent="0.35">
      <c r="E47">
        <v>22</v>
      </c>
      <c r="F47" s="3">
        <v>436.68467816508337</v>
      </c>
      <c r="G47" s="4">
        <v>0.22489464621396893</v>
      </c>
    </row>
    <row r="48" spans="5:7" x14ac:dyDescent="0.35">
      <c r="E48">
        <v>23</v>
      </c>
      <c r="F48" s="3">
        <v>325.82539496314348</v>
      </c>
      <c r="G48" s="4">
        <v>0.19751099229032709</v>
      </c>
    </row>
    <row r="49" spans="5:7" x14ac:dyDescent="0.35">
      <c r="E49">
        <v>24</v>
      </c>
      <c r="F49" s="3">
        <v>509.4441388985922</v>
      </c>
      <c r="G49" s="4">
        <v>0.24882815852976226</v>
      </c>
    </row>
    <row r="50" spans="5:7" x14ac:dyDescent="0.35">
      <c r="E50">
        <v>25</v>
      </c>
      <c r="F50" s="3">
        <v>555.40440531047898</v>
      </c>
      <c r="G50" s="4">
        <v>0.25520226094251774</v>
      </c>
    </row>
    <row r="51" spans="5:7" x14ac:dyDescent="0.35">
      <c r="E51">
        <v>26</v>
      </c>
      <c r="F51" s="3">
        <v>422.01215830025649</v>
      </c>
      <c r="G51" s="4">
        <v>0.20954357880731922</v>
      </c>
    </row>
    <row r="52" spans="5:7" x14ac:dyDescent="0.35">
      <c r="E52">
        <v>27</v>
      </c>
      <c r="F52" s="3">
        <v>257.35181757144335</v>
      </c>
      <c r="G52" s="4">
        <v>0.16391154060570923</v>
      </c>
    </row>
    <row r="53" spans="5:7" x14ac:dyDescent="0.35">
      <c r="E53">
        <v>28</v>
      </c>
      <c r="F53" s="3">
        <v>503.22281263898776</v>
      </c>
      <c r="G53" s="4">
        <v>0.24431389096191336</v>
      </c>
    </row>
    <row r="54" spans="5:7" x14ac:dyDescent="0.35">
      <c r="E54">
        <v>29</v>
      </c>
      <c r="F54" s="3">
        <v>676.38700189698898</v>
      </c>
      <c r="G54" s="4">
        <v>0.28109295744354346</v>
      </c>
    </row>
    <row r="55" spans="5:7" x14ac:dyDescent="0.35">
      <c r="E55">
        <v>30</v>
      </c>
      <c r="F55" s="3">
        <v>534.59366285530632</v>
      </c>
      <c r="G55" s="4">
        <v>0.25502955679809203</v>
      </c>
    </row>
    <row r="56" spans="5:7" x14ac:dyDescent="0.35">
      <c r="E56">
        <v>31</v>
      </c>
      <c r="F56" s="3">
        <v>505.98281886519976</v>
      </c>
      <c r="G56" s="4">
        <v>0.24483924211200003</v>
      </c>
    </row>
    <row r="57" spans="5:7" x14ac:dyDescent="0.35">
      <c r="E57">
        <v>32</v>
      </c>
      <c r="F57" s="3">
        <v>500.47544113714071</v>
      </c>
      <c r="G57" s="4">
        <v>0.2288028040790242</v>
      </c>
    </row>
    <row r="58" spans="5:7" x14ac:dyDescent="0.35">
      <c r="E58">
        <v>33</v>
      </c>
      <c r="F58" s="3">
        <v>418.61567442056526</v>
      </c>
      <c r="G58" s="4">
        <v>0.2145373620784552</v>
      </c>
    </row>
    <row r="59" spans="5:7" x14ac:dyDescent="0.35">
      <c r="E59">
        <v>34</v>
      </c>
      <c r="F59" s="3">
        <v>445.12490191840993</v>
      </c>
      <c r="G59" s="4">
        <v>0.21848893735006181</v>
      </c>
    </row>
    <row r="60" spans="5:7" x14ac:dyDescent="0.35">
      <c r="E60">
        <v>35</v>
      </c>
      <c r="F60" s="3">
        <v>425.76713246294275</v>
      </c>
      <c r="G60" s="4">
        <v>0.23155249620715979</v>
      </c>
    </row>
    <row r="61" spans="5:7" x14ac:dyDescent="0.35">
      <c r="E61">
        <v>36</v>
      </c>
      <c r="F61" s="3">
        <v>430.53979229070251</v>
      </c>
      <c r="G61" s="4">
        <v>0.2207440579435449</v>
      </c>
    </row>
    <row r="62" spans="5:7" x14ac:dyDescent="0.35">
      <c r="E62">
        <v>37</v>
      </c>
      <c r="F62" s="3">
        <v>462.44723488075692</v>
      </c>
      <c r="G62" s="4">
        <v>0.21476342739703203</v>
      </c>
    </row>
    <row r="63" spans="5:7" x14ac:dyDescent="0.35">
      <c r="E63">
        <v>38</v>
      </c>
      <c r="F63" s="3">
        <v>343.62005898644657</v>
      </c>
      <c r="G63" s="4">
        <v>0.19632439559022608</v>
      </c>
    </row>
    <row r="64" spans="5:7" x14ac:dyDescent="0.35">
      <c r="E64">
        <v>39</v>
      </c>
      <c r="F64" s="3">
        <v>521.91080442474527</v>
      </c>
      <c r="G64" s="4">
        <v>0.25074310119826881</v>
      </c>
    </row>
    <row r="65" spans="5:7" x14ac:dyDescent="0.35">
      <c r="E65">
        <v>40</v>
      </c>
      <c r="F65" s="3">
        <v>273.47378082803311</v>
      </c>
      <c r="G65" s="4">
        <v>0.1735262806788993</v>
      </c>
    </row>
    <row r="66" spans="5:7" x14ac:dyDescent="0.35">
      <c r="E66">
        <v>41</v>
      </c>
      <c r="F66" s="3">
        <v>321.92565127313514</v>
      </c>
      <c r="G66" s="4">
        <v>0.19637412599328097</v>
      </c>
    </row>
    <row r="67" spans="5:7" x14ac:dyDescent="0.35">
      <c r="E67">
        <v>42</v>
      </c>
      <c r="F67" s="3">
        <v>351.63108241139048</v>
      </c>
      <c r="G67" s="4">
        <v>0.20995543022108776</v>
      </c>
    </row>
    <row r="68" spans="5:7" x14ac:dyDescent="0.35">
      <c r="E68">
        <v>43</v>
      </c>
      <c r="F68" s="3">
        <v>351.72953026684854</v>
      </c>
      <c r="G68" s="4">
        <v>0.20497195845487504</v>
      </c>
    </row>
    <row r="69" spans="5:7" x14ac:dyDescent="0.35">
      <c r="E69">
        <v>44</v>
      </c>
      <c r="F69" s="3">
        <v>440.98367181092067</v>
      </c>
      <c r="G69" s="4">
        <v>0.2159424074442724</v>
      </c>
    </row>
    <row r="70" spans="5:7" x14ac:dyDescent="0.35">
      <c r="E70">
        <v>45</v>
      </c>
      <c r="F70" s="3">
        <v>290.11802759170041</v>
      </c>
      <c r="G70" s="4">
        <v>0.20604961924129106</v>
      </c>
    </row>
    <row r="71" spans="5:7" x14ac:dyDescent="0.35">
      <c r="E71">
        <v>46</v>
      </c>
      <c r="F71" s="3">
        <v>429.58840026133566</v>
      </c>
      <c r="G71" s="4">
        <v>0.21923050545210443</v>
      </c>
    </row>
    <row r="72" spans="5:7" x14ac:dyDescent="0.35">
      <c r="E72">
        <v>47</v>
      </c>
      <c r="F72" s="3">
        <v>242.01027777987429</v>
      </c>
      <c r="G72" s="4">
        <v>0.17450282400708672</v>
      </c>
    </row>
    <row r="73" spans="5:7" x14ac:dyDescent="0.35">
      <c r="E73">
        <v>48</v>
      </c>
      <c r="F73" s="3">
        <v>572.18161435852517</v>
      </c>
      <c r="G73" s="4">
        <v>0.26106087797283162</v>
      </c>
    </row>
    <row r="74" spans="5:7" x14ac:dyDescent="0.35">
      <c r="E74">
        <v>49</v>
      </c>
      <c r="F74" s="3">
        <v>221.70794863230822</v>
      </c>
      <c r="G74" s="4">
        <v>0.15601204789731327</v>
      </c>
    </row>
    <row r="75" spans="5:7" x14ac:dyDescent="0.35">
      <c r="E75">
        <v>50</v>
      </c>
      <c r="F75" s="3">
        <v>595.71578351594553</v>
      </c>
      <c r="G75" s="4">
        <v>0.26817434811677066</v>
      </c>
    </row>
    <row r="76" spans="5:7" x14ac:dyDescent="0.35">
      <c r="E76">
        <v>51</v>
      </c>
      <c r="F76" s="3">
        <v>479.3178193746935</v>
      </c>
      <c r="G76" s="4">
        <v>0.22565678709206805</v>
      </c>
    </row>
    <row r="77" spans="5:7" x14ac:dyDescent="0.35">
      <c r="E77">
        <v>52</v>
      </c>
      <c r="F77" s="3">
        <v>603.3422636082696</v>
      </c>
      <c r="G77" s="4">
        <v>0.28560690147993961</v>
      </c>
    </row>
    <row r="78" spans="5:7" x14ac:dyDescent="0.35">
      <c r="E78">
        <v>53</v>
      </c>
      <c r="F78" s="3">
        <v>681.76577720440991</v>
      </c>
      <c r="G78" s="4">
        <v>0.2803374343935523</v>
      </c>
    </row>
    <row r="79" spans="5:7" x14ac:dyDescent="0.35">
      <c r="E79">
        <v>54</v>
      </c>
      <c r="F79" s="3">
        <v>389.69916450050209</v>
      </c>
      <c r="G79" s="4">
        <v>0.20469466510162881</v>
      </c>
    </row>
    <row r="80" spans="5:7" x14ac:dyDescent="0.35">
      <c r="E80">
        <v>55</v>
      </c>
      <c r="F80" s="3">
        <v>479.8123314029433</v>
      </c>
      <c r="G80" s="4">
        <v>0.23888888726709312</v>
      </c>
    </row>
    <row r="81" spans="5:7" x14ac:dyDescent="0.35">
      <c r="E81">
        <v>56</v>
      </c>
      <c r="F81" s="3">
        <v>390.80471032723176</v>
      </c>
      <c r="G81" s="4">
        <v>0.21804197566500672</v>
      </c>
    </row>
    <row r="82" spans="5:7" x14ac:dyDescent="0.35">
      <c r="E82">
        <v>57</v>
      </c>
      <c r="F82" s="3">
        <v>263.49736638959803</v>
      </c>
      <c r="G82" s="4">
        <v>0.17346294203745161</v>
      </c>
    </row>
    <row r="83" spans="5:7" x14ac:dyDescent="0.35">
      <c r="E83">
        <v>58</v>
      </c>
      <c r="F83" s="3">
        <v>470.36738672701836</v>
      </c>
      <c r="G83" s="4">
        <v>0.2343809942554671</v>
      </c>
    </row>
    <row r="84" spans="5:7" x14ac:dyDescent="0.35">
      <c r="E84">
        <v>59</v>
      </c>
      <c r="F84" s="3">
        <v>440.28580447680724</v>
      </c>
      <c r="G84" s="4">
        <v>0.21870089860886543</v>
      </c>
    </row>
    <row r="85" spans="5:7" x14ac:dyDescent="0.35">
      <c r="E85">
        <v>60</v>
      </c>
      <c r="F85" s="3">
        <v>483.03151648603102</v>
      </c>
      <c r="G85" s="4">
        <v>0.24159325717868962</v>
      </c>
    </row>
    <row r="86" spans="5:7" x14ac:dyDescent="0.35">
      <c r="E86">
        <v>61</v>
      </c>
      <c r="F86" s="3">
        <v>478.7560713800176</v>
      </c>
      <c r="G86" s="4">
        <v>0.22622563046790489</v>
      </c>
    </row>
    <row r="87" spans="5:7" x14ac:dyDescent="0.35">
      <c r="E87">
        <v>62</v>
      </c>
      <c r="F87" s="3">
        <v>620.8810147747829</v>
      </c>
      <c r="G87" s="4">
        <v>0.26423732995986371</v>
      </c>
    </row>
    <row r="88" spans="5:7" x14ac:dyDescent="0.35">
      <c r="E88">
        <v>63</v>
      </c>
      <c r="F88" s="3">
        <v>361.88530009740839</v>
      </c>
      <c r="G88" s="4">
        <v>0.20603315981296277</v>
      </c>
    </row>
    <row r="89" spans="5:7" x14ac:dyDescent="0.35">
      <c r="E89">
        <v>64</v>
      </c>
      <c r="F89" s="3">
        <v>571.75705826241892</v>
      </c>
      <c r="G89" s="4">
        <v>0.28825397440393874</v>
      </c>
    </row>
    <row r="90" spans="5:7" x14ac:dyDescent="0.35">
      <c r="E90">
        <v>65</v>
      </c>
      <c r="F90" s="3">
        <v>277.83150843817521</v>
      </c>
      <c r="G90" s="4">
        <v>0.17656745605910706</v>
      </c>
    </row>
    <row r="91" spans="5:7" x14ac:dyDescent="0.35">
      <c r="E91">
        <v>66</v>
      </c>
      <c r="F91" s="3">
        <v>343.28134859417332</v>
      </c>
      <c r="G91" s="4">
        <v>0.19885529536951152</v>
      </c>
    </row>
    <row r="92" spans="5:7" x14ac:dyDescent="0.35">
      <c r="E92">
        <v>67</v>
      </c>
      <c r="F92" s="3">
        <v>465.54315079754451</v>
      </c>
      <c r="G92" s="4">
        <v>0.2285490175005942</v>
      </c>
    </row>
    <row r="93" spans="5:7" x14ac:dyDescent="0.35">
      <c r="E93">
        <v>68</v>
      </c>
      <c r="F93" s="3">
        <v>235.7776383607702</v>
      </c>
      <c r="G93" s="4">
        <v>0.16646905704913983</v>
      </c>
    </row>
    <row r="94" spans="5:7" x14ac:dyDescent="0.35">
      <c r="E94">
        <v>69</v>
      </c>
      <c r="F94" s="3">
        <v>565.39390159059394</v>
      </c>
      <c r="G94" s="4">
        <v>0.25915730814903215</v>
      </c>
    </row>
    <row r="95" spans="5:7" x14ac:dyDescent="0.35">
      <c r="E95">
        <v>70</v>
      </c>
      <c r="F95" s="3">
        <v>327.06237252898336</v>
      </c>
      <c r="G95" s="4">
        <v>0.18472349154738321</v>
      </c>
    </row>
    <row r="96" spans="5:7" x14ac:dyDescent="0.35">
      <c r="E96">
        <v>71</v>
      </c>
      <c r="F96" s="3">
        <v>524.51172151846572</v>
      </c>
      <c r="G96" s="4">
        <v>0.24108911174534109</v>
      </c>
    </row>
    <row r="97" spans="5:7" x14ac:dyDescent="0.35">
      <c r="E97">
        <v>72</v>
      </c>
      <c r="F97" s="3">
        <v>418.91053827587189</v>
      </c>
      <c r="G97" s="4">
        <v>0.21713360917240743</v>
      </c>
    </row>
    <row r="98" spans="5:7" x14ac:dyDescent="0.35">
      <c r="E98">
        <v>73</v>
      </c>
      <c r="F98" s="3">
        <v>511.98773324802073</v>
      </c>
      <c r="G98" s="4">
        <v>0.25149927444216447</v>
      </c>
    </row>
    <row r="99" spans="5:7" x14ac:dyDescent="0.35">
      <c r="E99">
        <v>74</v>
      </c>
      <c r="F99" s="3">
        <v>275.23975212094365</v>
      </c>
      <c r="G99" s="4">
        <v>0.17779498343896027</v>
      </c>
    </row>
    <row r="100" spans="5:7" x14ac:dyDescent="0.35">
      <c r="E100">
        <v>75</v>
      </c>
      <c r="F100" s="3">
        <v>500.29987207234444</v>
      </c>
      <c r="G100" s="4">
        <v>0.24398253342807008</v>
      </c>
    </row>
    <row r="101" spans="5:7" x14ac:dyDescent="0.35">
      <c r="E101">
        <v>76</v>
      </c>
      <c r="F101" s="3">
        <v>465.758878256137</v>
      </c>
      <c r="G101" s="4">
        <v>0.2259566669211015</v>
      </c>
    </row>
    <row r="102" spans="5:7" x14ac:dyDescent="0.35">
      <c r="E102">
        <v>77</v>
      </c>
      <c r="F102" s="3">
        <v>651.61585865962229</v>
      </c>
      <c r="G102" s="4">
        <v>0.29994649019152164</v>
      </c>
    </row>
    <row r="103" spans="5:7" x14ac:dyDescent="0.35">
      <c r="E103">
        <v>78</v>
      </c>
      <c r="F103" s="3">
        <v>452.17121214874192</v>
      </c>
      <c r="G103" s="4">
        <v>0.23433901817234393</v>
      </c>
    </row>
    <row r="104" spans="5:7" x14ac:dyDescent="0.35">
      <c r="E104">
        <v>79</v>
      </c>
      <c r="F104" s="3">
        <v>493.73505137342613</v>
      </c>
      <c r="G104" s="4">
        <v>0.23665285728885532</v>
      </c>
    </row>
    <row r="105" spans="5:7" x14ac:dyDescent="0.35">
      <c r="E105">
        <v>80</v>
      </c>
      <c r="F105" s="3">
        <v>590.20663274000867</v>
      </c>
      <c r="G105" s="4">
        <v>0.2772273847348159</v>
      </c>
    </row>
    <row r="106" spans="5:7" x14ac:dyDescent="0.35">
      <c r="E106">
        <v>81</v>
      </c>
      <c r="F106" s="3">
        <v>442.97541441391763</v>
      </c>
      <c r="G106" s="4">
        <v>0.21003223099784529</v>
      </c>
    </row>
    <row r="107" spans="5:7" x14ac:dyDescent="0.35">
      <c r="E107">
        <v>82</v>
      </c>
      <c r="F107" s="3">
        <v>447.57856260370386</v>
      </c>
      <c r="G107" s="4">
        <v>0.20956122263862764</v>
      </c>
    </row>
    <row r="108" spans="5:7" x14ac:dyDescent="0.35">
      <c r="E108">
        <v>83</v>
      </c>
      <c r="F108" s="3">
        <v>395.6158137499026</v>
      </c>
      <c r="G108" s="4">
        <v>0.19928515467139563</v>
      </c>
    </row>
    <row r="109" spans="5:7" x14ac:dyDescent="0.35">
      <c r="E109">
        <v>84</v>
      </c>
      <c r="F109" s="3">
        <v>458.5465020432232</v>
      </c>
      <c r="G109" s="4">
        <v>0.22950150671886949</v>
      </c>
    </row>
    <row r="110" spans="5:7" x14ac:dyDescent="0.35">
      <c r="E110">
        <v>85</v>
      </c>
      <c r="F110" s="3">
        <v>302.69596245612638</v>
      </c>
      <c r="G110" s="4">
        <v>0.17880745692519739</v>
      </c>
    </row>
    <row r="111" spans="5:7" x14ac:dyDescent="0.35">
      <c r="E111">
        <v>86</v>
      </c>
      <c r="F111" s="3">
        <v>430.39731610994113</v>
      </c>
      <c r="G111" s="4">
        <v>0.21805135477756377</v>
      </c>
    </row>
    <row r="112" spans="5:7" x14ac:dyDescent="0.35">
      <c r="E112">
        <v>87</v>
      </c>
      <c r="F112" s="3">
        <v>350.20567358930248</v>
      </c>
      <c r="G112" s="4">
        <v>0.19891437502964626</v>
      </c>
    </row>
    <row r="113" spans="5:7" x14ac:dyDescent="0.35">
      <c r="E113">
        <v>88</v>
      </c>
      <c r="F113" s="3">
        <v>492.64277628595801</v>
      </c>
      <c r="G113" s="4">
        <v>0.22763330165960038</v>
      </c>
    </row>
    <row r="114" spans="5:7" x14ac:dyDescent="0.35">
      <c r="E114">
        <v>89</v>
      </c>
      <c r="F114" s="3">
        <v>461.03081367880236</v>
      </c>
      <c r="G114" s="4">
        <v>0.2204942770738425</v>
      </c>
    </row>
    <row r="115" spans="5:7" x14ac:dyDescent="0.35">
      <c r="E115">
        <v>90</v>
      </c>
      <c r="F115" s="3">
        <v>423.33859578930856</v>
      </c>
      <c r="G115" s="4">
        <v>0.21312698370843108</v>
      </c>
    </row>
    <row r="116" spans="5:7" x14ac:dyDescent="0.35">
      <c r="E116">
        <v>91</v>
      </c>
      <c r="F116" s="3">
        <v>450.15303879040653</v>
      </c>
      <c r="G116" s="4">
        <v>0.22762736401925898</v>
      </c>
    </row>
    <row r="117" spans="5:7" x14ac:dyDescent="0.35">
      <c r="E117">
        <v>92</v>
      </c>
      <c r="F117" s="3">
        <v>431.97349993551279</v>
      </c>
      <c r="G117" s="4">
        <v>0.21347266635718309</v>
      </c>
    </row>
    <row r="118" spans="5:7" x14ac:dyDescent="0.35">
      <c r="E118">
        <v>93</v>
      </c>
      <c r="F118" s="3">
        <v>487.17284701979383</v>
      </c>
      <c r="G118" s="4">
        <v>0.24259839834946795</v>
      </c>
    </row>
    <row r="119" spans="5:7" x14ac:dyDescent="0.35">
      <c r="E119">
        <v>94</v>
      </c>
      <c r="F119" s="3">
        <v>405.54566091720449</v>
      </c>
      <c r="G119" s="4">
        <v>0.212182537368798</v>
      </c>
    </row>
    <row r="120" spans="5:7" x14ac:dyDescent="0.35">
      <c r="E120">
        <v>95</v>
      </c>
      <c r="F120" s="3">
        <v>399.91695225920012</v>
      </c>
      <c r="G120" s="4">
        <v>0.21290447866098816</v>
      </c>
    </row>
    <row r="121" spans="5:7" x14ac:dyDescent="0.35">
      <c r="E121">
        <v>96</v>
      </c>
      <c r="F121" s="3">
        <v>511.97811980737856</v>
      </c>
      <c r="G121" s="4">
        <v>0.24656996631483352</v>
      </c>
    </row>
    <row r="122" spans="5:7" x14ac:dyDescent="0.35">
      <c r="E122">
        <v>97</v>
      </c>
      <c r="F122" s="3">
        <v>464.2135899953978</v>
      </c>
      <c r="G122" s="4">
        <v>0.22915461035954254</v>
      </c>
    </row>
    <row r="123" spans="5:7" x14ac:dyDescent="0.35">
      <c r="E123">
        <v>98</v>
      </c>
      <c r="F123" s="3">
        <v>543.91379454319963</v>
      </c>
      <c r="G123" s="4">
        <v>0.27149879646585373</v>
      </c>
    </row>
    <row r="124" spans="5:7" x14ac:dyDescent="0.35">
      <c r="E124">
        <v>99</v>
      </c>
      <c r="F124" s="3">
        <v>432.30394910478253</v>
      </c>
      <c r="G124" s="4">
        <v>0.22584939235679014</v>
      </c>
    </row>
    <row r="125" spans="5:7" x14ac:dyDescent="0.35">
      <c r="E125">
        <v>100</v>
      </c>
      <c r="F125" s="3">
        <v>503.67609482862053</v>
      </c>
      <c r="G125" s="4">
        <v>0.23746022575598524</v>
      </c>
    </row>
    <row r="126" spans="5:7" x14ac:dyDescent="0.35">
      <c r="E126">
        <v>101</v>
      </c>
      <c r="F126" s="3">
        <v>669.78513882487778</v>
      </c>
      <c r="G126" s="4">
        <v>0.26854003857341846</v>
      </c>
    </row>
    <row r="127" spans="5:7" x14ac:dyDescent="0.35">
      <c r="E127">
        <v>102</v>
      </c>
      <c r="F127" s="3">
        <v>543.34229105852546</v>
      </c>
      <c r="G127" s="4">
        <v>0.24713420031676114</v>
      </c>
    </row>
    <row r="128" spans="5:7" x14ac:dyDescent="0.35">
      <c r="E128">
        <v>103</v>
      </c>
      <c r="F128" s="3">
        <v>555.57941438070156</v>
      </c>
      <c r="G128" s="4">
        <v>0.26227669708729962</v>
      </c>
    </row>
    <row r="129" spans="5:7" x14ac:dyDescent="0.35">
      <c r="E129">
        <v>104</v>
      </c>
      <c r="F129" s="3">
        <v>567.96069501187526</v>
      </c>
      <c r="G129" s="4">
        <v>0.26857780379887308</v>
      </c>
    </row>
    <row r="130" spans="5:7" x14ac:dyDescent="0.35">
      <c r="E130">
        <v>105</v>
      </c>
      <c r="F130" s="3">
        <v>552.89773091471784</v>
      </c>
      <c r="G130" s="4">
        <v>0.25440870770693946</v>
      </c>
    </row>
    <row r="131" spans="5:7" x14ac:dyDescent="0.35">
      <c r="E131">
        <v>106</v>
      </c>
      <c r="F131" s="3">
        <v>509.16529241899912</v>
      </c>
      <c r="G131" s="4">
        <v>0.2470329239194724</v>
      </c>
    </row>
    <row r="132" spans="5:7" x14ac:dyDescent="0.35">
      <c r="E132">
        <v>107</v>
      </c>
      <c r="F132" s="3">
        <v>369.8730923767589</v>
      </c>
      <c r="G132" s="4">
        <v>0.20222996467457666</v>
      </c>
    </row>
    <row r="133" spans="5:7" x14ac:dyDescent="0.35">
      <c r="E133">
        <v>108</v>
      </c>
      <c r="F133" s="3">
        <v>588.57796845442522</v>
      </c>
      <c r="G133" s="4">
        <v>0.25873835181959648</v>
      </c>
    </row>
    <row r="134" spans="5:7" x14ac:dyDescent="0.35">
      <c r="E134">
        <v>109</v>
      </c>
      <c r="F134" s="3">
        <v>505.61247520715324</v>
      </c>
      <c r="G134" s="4">
        <v>0.23352909788281284</v>
      </c>
    </row>
    <row r="135" spans="5:7" x14ac:dyDescent="0.35">
      <c r="E135">
        <v>110</v>
      </c>
      <c r="F135" s="3">
        <v>544.86060869304242</v>
      </c>
      <c r="G135" s="4">
        <v>0.25396077300965803</v>
      </c>
    </row>
    <row r="136" spans="5:7" x14ac:dyDescent="0.35">
      <c r="E136">
        <v>111</v>
      </c>
      <c r="F136" s="3">
        <v>404.78681478532849</v>
      </c>
      <c r="G136" s="4">
        <v>0.21410959828845488</v>
      </c>
    </row>
    <row r="137" spans="5:7" x14ac:dyDescent="0.35">
      <c r="E137">
        <v>112</v>
      </c>
      <c r="F137" s="3">
        <v>389.87722387291478</v>
      </c>
      <c r="G137" s="4">
        <v>0.20007565034621977</v>
      </c>
    </row>
    <row r="138" spans="5:7" x14ac:dyDescent="0.35">
      <c r="E138">
        <v>113</v>
      </c>
      <c r="F138" s="3">
        <v>501.45730950547227</v>
      </c>
      <c r="G138" s="4">
        <v>0.24423418134018116</v>
      </c>
    </row>
    <row r="139" spans="5:7" x14ac:dyDescent="0.35">
      <c r="E139">
        <v>114</v>
      </c>
      <c r="F139" s="3">
        <v>550.92701936935714</v>
      </c>
      <c r="G139" s="4">
        <v>0.24969189707788897</v>
      </c>
    </row>
    <row r="140" spans="5:7" x14ac:dyDescent="0.35">
      <c r="E140">
        <v>115</v>
      </c>
      <c r="F140" s="3">
        <v>254.28385571729871</v>
      </c>
      <c r="G140" s="4">
        <v>0.16362387667297318</v>
      </c>
    </row>
    <row r="141" spans="5:7" x14ac:dyDescent="0.35">
      <c r="E141">
        <v>116</v>
      </c>
      <c r="F141" s="3">
        <v>336.51494567866348</v>
      </c>
      <c r="G141" s="4">
        <v>0.18961584604285187</v>
      </c>
    </row>
    <row r="142" spans="5:7" x14ac:dyDescent="0.35">
      <c r="E142">
        <v>117</v>
      </c>
      <c r="F142" s="3">
        <v>490.19155028543673</v>
      </c>
      <c r="G142" s="4">
        <v>0.23632664002817405</v>
      </c>
    </row>
    <row r="143" spans="5:7" x14ac:dyDescent="0.35">
      <c r="E143">
        <v>118</v>
      </c>
      <c r="F143" s="3">
        <v>328.1457426952054</v>
      </c>
      <c r="G143" s="4">
        <v>0.19228360983377391</v>
      </c>
    </row>
    <row r="144" spans="5:7" x14ac:dyDescent="0.35">
      <c r="E144">
        <v>119</v>
      </c>
      <c r="F144" s="3">
        <v>403.00914134553614</v>
      </c>
      <c r="G144" s="4">
        <v>0.21943097746037599</v>
      </c>
    </row>
    <row r="145" spans="5:7" x14ac:dyDescent="0.35">
      <c r="E145">
        <v>120</v>
      </c>
      <c r="F145" s="3">
        <v>281.8484098160252</v>
      </c>
      <c r="G145" s="4">
        <v>0.18098342719783611</v>
      </c>
    </row>
    <row r="146" spans="5:7" x14ac:dyDescent="0.35">
      <c r="E146">
        <v>121</v>
      </c>
      <c r="F146" s="3">
        <v>422.12807463874265</v>
      </c>
      <c r="G146" s="4">
        <v>0.21549796224940221</v>
      </c>
    </row>
    <row r="147" spans="5:7" x14ac:dyDescent="0.35">
      <c r="E147">
        <v>122</v>
      </c>
      <c r="F147" s="3">
        <v>325.6918332108587</v>
      </c>
      <c r="G147" s="4">
        <v>0.19977768731034629</v>
      </c>
    </row>
    <row r="148" spans="5:7" x14ac:dyDescent="0.35">
      <c r="E148">
        <v>123</v>
      </c>
      <c r="F148" s="3">
        <v>489.28192918684204</v>
      </c>
      <c r="G148" s="4">
        <v>0.25358882598943988</v>
      </c>
    </row>
    <row r="149" spans="5:7" x14ac:dyDescent="0.35">
      <c r="E149">
        <v>124</v>
      </c>
      <c r="F149" s="3">
        <v>625.21225340248634</v>
      </c>
      <c r="G149" s="4">
        <v>0.27055614250662963</v>
      </c>
    </row>
    <row r="150" spans="5:7" x14ac:dyDescent="0.35">
      <c r="E150">
        <v>125</v>
      </c>
      <c r="F150" s="3">
        <v>649.65041388694408</v>
      </c>
      <c r="G150" s="4">
        <v>0.28828528322026603</v>
      </c>
    </row>
    <row r="151" spans="5:7" x14ac:dyDescent="0.35">
      <c r="E151">
        <v>126</v>
      </c>
      <c r="F151" s="3">
        <v>589.98786990014696</v>
      </c>
      <c r="G151" s="4">
        <v>0.26570404540034853</v>
      </c>
    </row>
    <row r="152" spans="5:7" x14ac:dyDescent="0.35">
      <c r="E152">
        <v>127</v>
      </c>
      <c r="F152" s="3">
        <v>364.34170124089314</v>
      </c>
      <c r="G152" s="4">
        <v>0.2177095799289539</v>
      </c>
    </row>
    <row r="153" spans="5:7" x14ac:dyDescent="0.35">
      <c r="E153">
        <v>128</v>
      </c>
      <c r="F153" s="3">
        <v>392.90873346252829</v>
      </c>
      <c r="G153" s="4">
        <v>0.20282027412099302</v>
      </c>
    </row>
    <row r="154" spans="5:7" x14ac:dyDescent="0.35">
      <c r="E154">
        <v>129</v>
      </c>
      <c r="F154" s="3">
        <v>415.66073555804792</v>
      </c>
      <c r="G154" s="4">
        <v>0.21250664686836895</v>
      </c>
    </row>
    <row r="155" spans="5:7" x14ac:dyDescent="0.35">
      <c r="E155">
        <v>130</v>
      </c>
      <c r="F155" s="3">
        <v>481.19763647927925</v>
      </c>
      <c r="G155" s="4">
        <v>0.22860816615961532</v>
      </c>
    </row>
    <row r="156" spans="5:7" x14ac:dyDescent="0.35">
      <c r="E156">
        <v>131</v>
      </c>
      <c r="F156" s="3">
        <v>358.87176873862791</v>
      </c>
      <c r="G156" s="4">
        <v>0.19528604870285449</v>
      </c>
    </row>
    <row r="157" spans="5:7" x14ac:dyDescent="0.35">
      <c r="E157">
        <v>132</v>
      </c>
      <c r="F157" s="3">
        <v>376.08634496231321</v>
      </c>
      <c r="G157" s="4">
        <v>0.1993507358387272</v>
      </c>
    </row>
    <row r="158" spans="5:7" x14ac:dyDescent="0.35">
      <c r="E158">
        <v>133</v>
      </c>
      <c r="F158" s="3">
        <v>310.79490743248311</v>
      </c>
      <c r="G158" s="4">
        <v>0.18678310601576809</v>
      </c>
    </row>
    <row r="159" spans="5:7" x14ac:dyDescent="0.35">
      <c r="E159">
        <v>134</v>
      </c>
      <c r="F159" s="3">
        <v>574.82394211770725</v>
      </c>
      <c r="G159" s="4">
        <v>0.26407442823331961</v>
      </c>
    </row>
    <row r="160" spans="5:7" x14ac:dyDescent="0.35">
      <c r="E160">
        <v>135</v>
      </c>
      <c r="F160" s="3">
        <v>551.82290604728132</v>
      </c>
      <c r="G160" s="4">
        <v>0.27050350833481862</v>
      </c>
    </row>
    <row r="161" spans="5:7" x14ac:dyDescent="0.35">
      <c r="E161">
        <v>136</v>
      </c>
      <c r="F161" s="3">
        <v>506.97868840070441</v>
      </c>
      <c r="G161" s="4">
        <v>0.24758567087997818</v>
      </c>
    </row>
    <row r="162" spans="5:7" x14ac:dyDescent="0.35">
      <c r="E162">
        <v>137</v>
      </c>
      <c r="F162" s="3">
        <v>331.30314174357181</v>
      </c>
      <c r="G162" s="4">
        <v>0.18838405306971184</v>
      </c>
    </row>
    <row r="163" spans="5:7" x14ac:dyDescent="0.35">
      <c r="E163">
        <v>138</v>
      </c>
      <c r="F163" s="3">
        <v>389.63408791718757</v>
      </c>
      <c r="G163" s="4">
        <v>0.20711601847427774</v>
      </c>
    </row>
    <row r="164" spans="5:7" x14ac:dyDescent="0.35">
      <c r="E164">
        <v>139</v>
      </c>
      <c r="F164" s="3">
        <v>425.05363830676197</v>
      </c>
      <c r="G164" s="4">
        <v>0.21724691294617515</v>
      </c>
    </row>
    <row r="165" spans="5:7" x14ac:dyDescent="0.35">
      <c r="E165">
        <v>140</v>
      </c>
      <c r="F165" s="3">
        <v>556.63711390366348</v>
      </c>
      <c r="G165" s="4">
        <v>0.26290314668964765</v>
      </c>
    </row>
    <row r="166" spans="5:7" x14ac:dyDescent="0.35">
      <c r="E166">
        <v>141</v>
      </c>
      <c r="F166" s="3">
        <v>460.98577138671612</v>
      </c>
      <c r="G166" s="4">
        <v>0.22836269681607013</v>
      </c>
    </row>
    <row r="167" spans="5:7" x14ac:dyDescent="0.35">
      <c r="E167">
        <v>142</v>
      </c>
      <c r="F167" s="3">
        <v>492.7390086347018</v>
      </c>
      <c r="G167" s="4">
        <v>0.24411103255661271</v>
      </c>
    </row>
    <row r="168" spans="5:7" x14ac:dyDescent="0.35">
      <c r="E168">
        <v>143</v>
      </c>
      <c r="F168" s="3">
        <v>509.14103175888681</v>
      </c>
      <c r="G168" s="4">
        <v>0.24296726663842017</v>
      </c>
    </row>
    <row r="169" spans="5:7" x14ac:dyDescent="0.35">
      <c r="E169">
        <v>144</v>
      </c>
      <c r="F169" s="3">
        <v>497.18097589142144</v>
      </c>
      <c r="G169" s="4">
        <v>0.23758105485637326</v>
      </c>
    </row>
    <row r="170" spans="5:7" x14ac:dyDescent="0.35">
      <c r="E170">
        <v>145</v>
      </c>
      <c r="F170" s="3">
        <v>487.88748371396264</v>
      </c>
      <c r="G170" s="4">
        <v>0.22164287562672369</v>
      </c>
    </row>
    <row r="171" spans="5:7" x14ac:dyDescent="0.35">
      <c r="E171">
        <v>146</v>
      </c>
      <c r="F171" s="3">
        <v>328.1470446906942</v>
      </c>
      <c r="G171" s="4">
        <v>0.20029028854896014</v>
      </c>
    </row>
    <row r="172" spans="5:7" x14ac:dyDescent="0.35">
      <c r="E172">
        <v>147</v>
      </c>
      <c r="F172" s="3">
        <v>422.61390802533242</v>
      </c>
      <c r="G172" s="4">
        <v>0.23252767935658381</v>
      </c>
    </row>
    <row r="173" spans="5:7" x14ac:dyDescent="0.35">
      <c r="E173">
        <v>148</v>
      </c>
      <c r="F173" s="3">
        <v>405.20670842377922</v>
      </c>
      <c r="G173" s="4">
        <v>0.21757407784755967</v>
      </c>
    </row>
    <row r="174" spans="5:7" x14ac:dyDescent="0.35">
      <c r="E174">
        <v>149</v>
      </c>
      <c r="F174" s="3">
        <v>376.4845718113454</v>
      </c>
      <c r="G174" s="4">
        <v>0.21153212718313963</v>
      </c>
    </row>
    <row r="175" spans="5:7" x14ac:dyDescent="0.35">
      <c r="E175">
        <v>150</v>
      </c>
      <c r="F175" s="3">
        <v>487.08301941336936</v>
      </c>
      <c r="G175" s="4">
        <v>0.23455679890739289</v>
      </c>
    </row>
    <row r="176" spans="5:7" x14ac:dyDescent="0.35">
      <c r="E176">
        <v>151</v>
      </c>
      <c r="F176" s="3">
        <v>441.47128066926234</v>
      </c>
      <c r="G176" s="4">
        <v>0.21758553613186926</v>
      </c>
    </row>
    <row r="177" spans="5:7" x14ac:dyDescent="0.35">
      <c r="E177">
        <v>152</v>
      </c>
      <c r="F177" s="3">
        <v>603.98248380903738</v>
      </c>
      <c r="G177" s="4">
        <v>0.26968918841979161</v>
      </c>
    </row>
    <row r="178" spans="5:7" x14ac:dyDescent="0.35">
      <c r="E178">
        <v>153</v>
      </c>
      <c r="F178" s="3">
        <v>423.73112455645719</v>
      </c>
      <c r="G178" s="4">
        <v>0.23364570204896484</v>
      </c>
    </row>
    <row r="179" spans="5:7" x14ac:dyDescent="0.35">
      <c r="E179">
        <v>154</v>
      </c>
      <c r="F179" s="3">
        <v>439.19110671213616</v>
      </c>
      <c r="G179" s="4">
        <v>0.22715769429891819</v>
      </c>
    </row>
    <row r="180" spans="5:7" x14ac:dyDescent="0.35">
      <c r="E180">
        <v>155</v>
      </c>
      <c r="F180" s="3">
        <v>358.26133619234702</v>
      </c>
      <c r="G180" s="4">
        <v>0.20065763939863523</v>
      </c>
    </row>
    <row r="181" spans="5:7" x14ac:dyDescent="0.35">
      <c r="E181">
        <v>156</v>
      </c>
      <c r="F181" s="3">
        <v>647.56798130513585</v>
      </c>
      <c r="G181" s="4">
        <v>0.26113173164543713</v>
      </c>
    </row>
    <row r="182" spans="5:7" x14ac:dyDescent="0.35">
      <c r="E182">
        <v>157</v>
      </c>
      <c r="F182" s="3">
        <v>600.07759092282959</v>
      </c>
      <c r="G182" s="4">
        <v>0.26838188264500795</v>
      </c>
    </row>
    <row r="183" spans="5:7" x14ac:dyDescent="0.35">
      <c r="E183">
        <v>158</v>
      </c>
      <c r="F183" s="3">
        <v>606.52026013880231</v>
      </c>
      <c r="G183" s="4">
        <v>0.27852573187061669</v>
      </c>
    </row>
    <row r="184" spans="5:7" x14ac:dyDescent="0.35">
      <c r="E184">
        <v>159</v>
      </c>
      <c r="F184" s="3">
        <v>424.84502383932659</v>
      </c>
      <c r="G184" s="4">
        <v>0.21938627500840302</v>
      </c>
    </row>
    <row r="185" spans="5:7" x14ac:dyDescent="0.35">
      <c r="E185">
        <v>160</v>
      </c>
      <c r="F185" s="3">
        <v>538.80276338546423</v>
      </c>
      <c r="G185" s="4">
        <v>0.2428880675068632</v>
      </c>
    </row>
    <row r="186" spans="5:7" x14ac:dyDescent="0.35">
      <c r="E186">
        <v>161</v>
      </c>
      <c r="F186" s="3">
        <v>387.9769332043486</v>
      </c>
      <c r="G186" s="4">
        <v>0.20809898686774653</v>
      </c>
    </row>
    <row r="187" spans="5:7" x14ac:dyDescent="0.35">
      <c r="E187">
        <v>162</v>
      </c>
      <c r="F187" s="3">
        <v>463.31032515475113</v>
      </c>
      <c r="G187" s="4">
        <v>0.22874395956849836</v>
      </c>
    </row>
    <row r="188" spans="5:7" x14ac:dyDescent="0.35">
      <c r="E188">
        <v>163</v>
      </c>
      <c r="F188" s="3">
        <v>455.91361620073735</v>
      </c>
      <c r="G188" s="4">
        <v>0.22370514507945694</v>
      </c>
    </row>
    <row r="189" spans="5:7" x14ac:dyDescent="0.35">
      <c r="E189">
        <v>164</v>
      </c>
      <c r="F189" s="3">
        <v>445.86669254102776</v>
      </c>
      <c r="G189" s="4">
        <v>0.22160488535156508</v>
      </c>
    </row>
    <row r="190" spans="5:7" x14ac:dyDescent="0.35">
      <c r="E190">
        <v>165</v>
      </c>
      <c r="F190" s="3">
        <v>362.08733598461799</v>
      </c>
      <c r="G190" s="4">
        <v>0.20462599515965696</v>
      </c>
    </row>
    <row r="191" spans="5:7" x14ac:dyDescent="0.35">
      <c r="E191">
        <v>166</v>
      </c>
      <c r="F191" s="3">
        <v>378.09146771583255</v>
      </c>
      <c r="G191" s="4">
        <v>0.20821918819931251</v>
      </c>
    </row>
    <row r="192" spans="5:7" x14ac:dyDescent="0.35">
      <c r="E192">
        <v>167</v>
      </c>
      <c r="F192" s="3">
        <v>342.76135619312822</v>
      </c>
      <c r="G192" s="4">
        <v>0.19042801061376924</v>
      </c>
    </row>
    <row r="193" spans="5:7" x14ac:dyDescent="0.35">
      <c r="E193">
        <v>168</v>
      </c>
      <c r="F193" s="3">
        <v>479.09652071863002</v>
      </c>
      <c r="G193" s="4">
        <v>0.23680350180920429</v>
      </c>
    </row>
    <row r="194" spans="5:7" x14ac:dyDescent="0.35">
      <c r="E194">
        <v>169</v>
      </c>
      <c r="F194" s="3">
        <v>456.72504959734556</v>
      </c>
      <c r="G194" s="4">
        <v>0.23550597170680065</v>
      </c>
    </row>
    <row r="195" spans="5:7" x14ac:dyDescent="0.35">
      <c r="E195">
        <v>170</v>
      </c>
      <c r="F195" s="3">
        <v>543.53769336913592</v>
      </c>
      <c r="G195" s="4">
        <v>0.26078001111127458</v>
      </c>
    </row>
    <row r="196" spans="5:7" x14ac:dyDescent="0.35">
      <c r="E196">
        <v>171</v>
      </c>
      <c r="F196" s="3">
        <v>410.73714405963051</v>
      </c>
      <c r="G196" s="4">
        <v>0.21194892464128801</v>
      </c>
    </row>
    <row r="197" spans="5:7" x14ac:dyDescent="0.35">
      <c r="E197">
        <v>172</v>
      </c>
      <c r="F197" s="3">
        <v>474.9703270544926</v>
      </c>
      <c r="G197" s="4">
        <v>0.23759010350595622</v>
      </c>
    </row>
    <row r="198" spans="5:7" x14ac:dyDescent="0.35">
      <c r="E198">
        <v>173</v>
      </c>
      <c r="F198" s="3">
        <v>458.86965493850994</v>
      </c>
      <c r="G198" s="4">
        <v>0.23009056080168455</v>
      </c>
    </row>
    <row r="199" spans="5:7" x14ac:dyDescent="0.35">
      <c r="E199">
        <v>174</v>
      </c>
      <c r="F199" s="3">
        <v>374.66952942137118</v>
      </c>
      <c r="G199" s="4">
        <v>0.20599641126403934</v>
      </c>
    </row>
    <row r="200" spans="5:7" x14ac:dyDescent="0.35">
      <c r="E200">
        <v>175</v>
      </c>
      <c r="F200" s="3">
        <v>615.29148940434129</v>
      </c>
      <c r="G200" s="4">
        <v>0.28356746354159701</v>
      </c>
    </row>
    <row r="201" spans="5:7" x14ac:dyDescent="0.35">
      <c r="E201">
        <v>176</v>
      </c>
      <c r="F201" s="3">
        <v>483.64467962321191</v>
      </c>
      <c r="G201" s="4">
        <v>0.24027060628409425</v>
      </c>
    </row>
    <row r="202" spans="5:7" x14ac:dyDescent="0.35">
      <c r="E202">
        <v>177</v>
      </c>
      <c r="F202" s="3">
        <v>435.09282985639607</v>
      </c>
      <c r="G202" s="4">
        <v>0.2152068742837665</v>
      </c>
    </row>
    <row r="203" spans="5:7" x14ac:dyDescent="0.35">
      <c r="E203">
        <v>178</v>
      </c>
      <c r="F203" s="3">
        <v>479.92339682277679</v>
      </c>
      <c r="G203" s="4">
        <v>0.23308231031180915</v>
      </c>
    </row>
    <row r="204" spans="5:7" x14ac:dyDescent="0.35">
      <c r="E204">
        <v>179</v>
      </c>
      <c r="F204" s="3">
        <v>434.54955123380296</v>
      </c>
      <c r="G204" s="4">
        <v>0.21871664573426419</v>
      </c>
    </row>
    <row r="205" spans="5:7" x14ac:dyDescent="0.35">
      <c r="E205">
        <v>180</v>
      </c>
      <c r="F205" s="3">
        <v>389.26843014198857</v>
      </c>
      <c r="G205" s="4">
        <v>0.20711606655562775</v>
      </c>
    </row>
    <row r="206" spans="5:7" x14ac:dyDescent="0.35">
      <c r="E206">
        <v>181</v>
      </c>
      <c r="F206" s="3">
        <v>327.9559870509438</v>
      </c>
      <c r="G206" s="4">
        <v>0.18866761472936644</v>
      </c>
    </row>
    <row r="207" spans="5:7" x14ac:dyDescent="0.35">
      <c r="E207">
        <v>182</v>
      </c>
      <c r="F207" s="3">
        <v>552.73677142893075</v>
      </c>
      <c r="G207" s="4">
        <v>0.26459249196060419</v>
      </c>
    </row>
    <row r="208" spans="5:7" x14ac:dyDescent="0.35">
      <c r="E208">
        <v>183</v>
      </c>
      <c r="F208" s="3">
        <v>500.85656194064973</v>
      </c>
      <c r="G208" s="4">
        <v>0.24282991667421672</v>
      </c>
    </row>
    <row r="209" spans="5:7" x14ac:dyDescent="0.35">
      <c r="E209">
        <v>184</v>
      </c>
      <c r="F209" s="3">
        <v>604.41971888811372</v>
      </c>
      <c r="G209" s="4">
        <v>0.27886411145459156</v>
      </c>
    </row>
    <row r="210" spans="5:7" x14ac:dyDescent="0.35">
      <c r="E210">
        <v>185</v>
      </c>
      <c r="F210" s="3">
        <v>337.74628248742442</v>
      </c>
      <c r="G210" s="4">
        <v>0.1970847373788116</v>
      </c>
    </row>
    <row r="211" spans="5:7" x14ac:dyDescent="0.35">
      <c r="E211">
        <v>186</v>
      </c>
      <c r="F211" s="3">
        <v>348.4232864924586</v>
      </c>
      <c r="G211" s="4">
        <v>0.18992492944966766</v>
      </c>
    </row>
    <row r="212" spans="5:7" x14ac:dyDescent="0.35">
      <c r="E212">
        <v>187</v>
      </c>
      <c r="F212" s="3">
        <v>463.60742032020357</v>
      </c>
      <c r="G212" s="4">
        <v>0.22252896437741243</v>
      </c>
    </row>
    <row r="213" spans="5:7" x14ac:dyDescent="0.35">
      <c r="E213">
        <v>188</v>
      </c>
      <c r="F213" s="3">
        <v>635.52262799781465</v>
      </c>
      <c r="G213" s="4">
        <v>0.27931158672189804</v>
      </c>
    </row>
    <row r="214" spans="5:7" x14ac:dyDescent="0.35">
      <c r="E214">
        <v>189</v>
      </c>
      <c r="F214" s="3">
        <v>232.06647029391445</v>
      </c>
      <c r="G214" s="4">
        <v>0.1683443232103965</v>
      </c>
    </row>
    <row r="215" spans="5:7" x14ac:dyDescent="0.35">
      <c r="E215">
        <v>190</v>
      </c>
      <c r="F215" s="3">
        <v>338.08487787705394</v>
      </c>
      <c r="G215" s="4">
        <v>0.18573556722804518</v>
      </c>
    </row>
    <row r="216" spans="5:7" x14ac:dyDescent="0.35">
      <c r="E216">
        <v>191</v>
      </c>
      <c r="F216" s="3">
        <v>342.72938129505928</v>
      </c>
      <c r="G216" s="4">
        <v>0.20467277048992272</v>
      </c>
    </row>
    <row r="217" spans="5:7" x14ac:dyDescent="0.35">
      <c r="E217">
        <v>192</v>
      </c>
      <c r="F217" s="3">
        <v>565.26017737388065</v>
      </c>
      <c r="G217" s="4">
        <v>0.24626060213889311</v>
      </c>
    </row>
    <row r="218" spans="5:7" x14ac:dyDescent="0.35">
      <c r="E218">
        <v>193</v>
      </c>
      <c r="F218" s="3">
        <v>433.6671834774686</v>
      </c>
      <c r="G218" s="4">
        <v>0.21474041925540988</v>
      </c>
    </row>
    <row r="219" spans="5:7" x14ac:dyDescent="0.35">
      <c r="E219">
        <v>194</v>
      </c>
      <c r="F219" s="3">
        <v>328.09572928867215</v>
      </c>
      <c r="G219" s="4">
        <v>0.18266297678974985</v>
      </c>
    </row>
    <row r="220" spans="5:7" x14ac:dyDescent="0.35">
      <c r="E220">
        <v>195</v>
      </c>
      <c r="F220" s="3">
        <v>301.34807416234048</v>
      </c>
      <c r="G220" s="4">
        <v>0.19122155850622757</v>
      </c>
    </row>
    <row r="221" spans="5:7" x14ac:dyDescent="0.35">
      <c r="E221">
        <v>196</v>
      </c>
      <c r="F221" s="3">
        <v>453.04995622949559</v>
      </c>
      <c r="G221" s="4">
        <v>0.22601683053736732</v>
      </c>
    </row>
    <row r="222" spans="5:7" x14ac:dyDescent="0.35">
      <c r="E222">
        <v>197</v>
      </c>
      <c r="F222" s="3">
        <v>501.60498737597209</v>
      </c>
      <c r="G222" s="4">
        <v>0.23883190390975706</v>
      </c>
    </row>
    <row r="223" spans="5:7" x14ac:dyDescent="0.35">
      <c r="E223">
        <v>198</v>
      </c>
      <c r="F223" s="3">
        <v>259.78917344006163</v>
      </c>
      <c r="G223" s="4">
        <v>0.16293357549129772</v>
      </c>
    </row>
    <row r="224" spans="5:7" x14ac:dyDescent="0.35">
      <c r="E224">
        <v>199</v>
      </c>
      <c r="F224" s="3">
        <v>545.56044845208066</v>
      </c>
      <c r="G224" s="4">
        <v>0.239201415236731</v>
      </c>
    </row>
    <row r="225" spans="5:7" x14ac:dyDescent="0.35">
      <c r="E225">
        <v>200</v>
      </c>
      <c r="F225" s="3">
        <v>529.39028883910646</v>
      </c>
      <c r="G225" s="4">
        <v>0.23956658584139667</v>
      </c>
    </row>
    <row r="226" spans="5:7" x14ac:dyDescent="0.35">
      <c r="E226">
        <v>201</v>
      </c>
      <c r="F226" s="3">
        <v>402.18322644698173</v>
      </c>
      <c r="G226" s="4">
        <v>0.22029450220210567</v>
      </c>
    </row>
    <row r="227" spans="5:7" x14ac:dyDescent="0.35">
      <c r="E227">
        <v>202</v>
      </c>
      <c r="F227" s="3">
        <v>341.83873764772488</v>
      </c>
      <c r="G227" s="4">
        <v>0.19520665934672143</v>
      </c>
    </row>
    <row r="228" spans="5:7" x14ac:dyDescent="0.35">
      <c r="E228">
        <v>203</v>
      </c>
      <c r="F228" s="3">
        <v>303.91441051927063</v>
      </c>
      <c r="G228" s="4">
        <v>0.18161085580730107</v>
      </c>
    </row>
    <row r="229" spans="5:7" x14ac:dyDescent="0.35">
      <c r="E229">
        <v>204</v>
      </c>
      <c r="F229" s="3">
        <v>427.10577367271753</v>
      </c>
      <c r="G229" s="4">
        <v>0.21630356334789025</v>
      </c>
    </row>
    <row r="230" spans="5:7" x14ac:dyDescent="0.35">
      <c r="E230">
        <v>205</v>
      </c>
      <c r="F230" s="3">
        <v>464.94916254454142</v>
      </c>
      <c r="G230" s="4">
        <v>0.22590788344387169</v>
      </c>
    </row>
    <row r="231" spans="5:7" x14ac:dyDescent="0.35">
      <c r="E231">
        <v>206</v>
      </c>
      <c r="F231" s="3">
        <v>479.1586382928383</v>
      </c>
      <c r="G231" s="4">
        <v>0.24062311820571791</v>
      </c>
    </row>
    <row r="232" spans="5:7" x14ac:dyDescent="0.35">
      <c r="E232">
        <v>207</v>
      </c>
      <c r="F232" s="3">
        <v>450.30499573443603</v>
      </c>
      <c r="G232" s="4">
        <v>0.2278026714094159</v>
      </c>
    </row>
    <row r="233" spans="5:7" x14ac:dyDescent="0.35">
      <c r="E233">
        <v>208</v>
      </c>
      <c r="F233" s="3">
        <v>285.44344886795852</v>
      </c>
      <c r="G233" s="4">
        <v>0.18194323988134564</v>
      </c>
    </row>
    <row r="234" spans="5:7" x14ac:dyDescent="0.35">
      <c r="E234">
        <v>209</v>
      </c>
      <c r="F234" s="3">
        <v>518.74298820035483</v>
      </c>
      <c r="G234" s="4">
        <v>0.24223435665432591</v>
      </c>
    </row>
    <row r="235" spans="5:7" x14ac:dyDescent="0.35">
      <c r="E235">
        <v>210</v>
      </c>
      <c r="F235" s="3">
        <v>476.45562413160087</v>
      </c>
      <c r="G235" s="4">
        <v>0.22030661641140648</v>
      </c>
    </row>
    <row r="236" spans="5:7" x14ac:dyDescent="0.35">
      <c r="E236">
        <v>211</v>
      </c>
      <c r="F236" s="3">
        <v>510.3355362707598</v>
      </c>
      <c r="G236" s="4">
        <v>0.24570910523449174</v>
      </c>
    </row>
    <row r="237" spans="5:7" x14ac:dyDescent="0.35">
      <c r="E237">
        <v>212</v>
      </c>
      <c r="F237" s="3">
        <v>216.8700021016225</v>
      </c>
      <c r="G237" s="4">
        <v>0.16493835532492729</v>
      </c>
    </row>
    <row r="238" spans="5:7" x14ac:dyDescent="0.35">
      <c r="E238">
        <v>213</v>
      </c>
      <c r="F238" s="3">
        <v>387.33098134106058</v>
      </c>
      <c r="G238" s="4">
        <v>0.22892224558070229</v>
      </c>
    </row>
    <row r="239" spans="5:7" x14ac:dyDescent="0.35">
      <c r="E239">
        <v>214</v>
      </c>
      <c r="F239" s="3">
        <v>200.75781447510849</v>
      </c>
      <c r="G239" s="4">
        <v>0.15814614845648767</v>
      </c>
    </row>
    <row r="240" spans="5:7" x14ac:dyDescent="0.35">
      <c r="E240">
        <v>215</v>
      </c>
      <c r="F240" s="3">
        <v>432.27488215919129</v>
      </c>
      <c r="G240" s="4">
        <v>0.21912170757418692</v>
      </c>
    </row>
    <row r="241" spans="5:7" x14ac:dyDescent="0.35">
      <c r="E241">
        <v>216</v>
      </c>
      <c r="F241" s="3">
        <v>381.89459641587837</v>
      </c>
      <c r="G241" s="4">
        <v>0.19132367922574911</v>
      </c>
    </row>
    <row r="242" spans="5:7" x14ac:dyDescent="0.35">
      <c r="E242">
        <v>217</v>
      </c>
      <c r="F242" s="3">
        <v>535.41147661894706</v>
      </c>
      <c r="G242" s="4">
        <v>0.24120702982266651</v>
      </c>
    </row>
    <row r="243" spans="5:7" x14ac:dyDescent="0.35">
      <c r="E243">
        <v>218</v>
      </c>
      <c r="F243" s="3">
        <v>423.16157457187705</v>
      </c>
      <c r="G243" s="4">
        <v>0.23002702370367678</v>
      </c>
    </row>
    <row r="244" spans="5:7" x14ac:dyDescent="0.35">
      <c r="E244">
        <v>219</v>
      </c>
      <c r="F244" s="3">
        <v>359.44602868836</v>
      </c>
      <c r="G244" s="4">
        <v>0.20120390486870865</v>
      </c>
    </row>
    <row r="245" spans="5:7" x14ac:dyDescent="0.35">
      <c r="E245">
        <v>220</v>
      </c>
      <c r="F245" s="3">
        <v>527.19589741238701</v>
      </c>
      <c r="G245" s="4">
        <v>0.25257769464297564</v>
      </c>
    </row>
    <row r="246" spans="5:7" x14ac:dyDescent="0.35">
      <c r="E246">
        <v>221</v>
      </c>
      <c r="F246" s="3">
        <v>450.07603337998034</v>
      </c>
      <c r="G246" s="4">
        <v>0.22526007677655469</v>
      </c>
    </row>
    <row r="247" spans="5:7" x14ac:dyDescent="0.35">
      <c r="E247">
        <v>222</v>
      </c>
      <c r="F247" s="3">
        <v>484.42769822507785</v>
      </c>
      <c r="G247" s="4">
        <v>0.23423607484731268</v>
      </c>
    </row>
    <row r="248" spans="5:7" x14ac:dyDescent="0.35">
      <c r="E248">
        <v>223</v>
      </c>
      <c r="F248" s="3">
        <v>427.0432864988793</v>
      </c>
      <c r="G248" s="4">
        <v>0.22088865472806574</v>
      </c>
    </row>
    <row r="249" spans="5:7" x14ac:dyDescent="0.35">
      <c r="E249">
        <v>224</v>
      </c>
      <c r="F249" s="3">
        <v>355.73208290769821</v>
      </c>
      <c r="G249" s="4">
        <v>0.21174428379610677</v>
      </c>
    </row>
    <row r="250" spans="5:7" x14ac:dyDescent="0.35">
      <c r="E250">
        <v>225</v>
      </c>
      <c r="F250" s="3">
        <v>443.86936874764751</v>
      </c>
      <c r="G250" s="4">
        <v>0.22875946148581594</v>
      </c>
    </row>
    <row r="251" spans="5:7" x14ac:dyDescent="0.35">
      <c r="E251">
        <v>226</v>
      </c>
      <c r="F251" s="3">
        <v>434.12498976045958</v>
      </c>
      <c r="G251" s="4">
        <v>0.2138307904342398</v>
      </c>
    </row>
    <row r="252" spans="5:7" x14ac:dyDescent="0.35">
      <c r="E252">
        <v>227</v>
      </c>
      <c r="F252" s="3">
        <v>291.43195758624302</v>
      </c>
      <c r="G252" s="4">
        <v>0.18063404563882735</v>
      </c>
    </row>
    <row r="253" spans="5:7" x14ac:dyDescent="0.35">
      <c r="E253">
        <v>228</v>
      </c>
      <c r="F253" s="3">
        <v>437.45516947011606</v>
      </c>
      <c r="G253" s="4">
        <v>0.22429475978696423</v>
      </c>
    </row>
    <row r="254" spans="5:7" x14ac:dyDescent="0.35">
      <c r="E254">
        <v>229</v>
      </c>
      <c r="F254" s="3">
        <v>398.07905560920153</v>
      </c>
      <c r="G254" s="4">
        <v>0.21483396746835925</v>
      </c>
    </row>
    <row r="255" spans="5:7" x14ac:dyDescent="0.35">
      <c r="E255">
        <v>230</v>
      </c>
      <c r="F255" s="3">
        <v>491.89553781754989</v>
      </c>
      <c r="G255" s="4">
        <v>0.24603911906277753</v>
      </c>
    </row>
    <row r="256" spans="5:7" x14ac:dyDescent="0.35">
      <c r="E256">
        <v>231</v>
      </c>
      <c r="F256" s="3">
        <v>338.20715618677946</v>
      </c>
      <c r="G256" s="4">
        <v>0.18691573652773585</v>
      </c>
    </row>
    <row r="257" spans="5:7" x14ac:dyDescent="0.35">
      <c r="E257">
        <v>232</v>
      </c>
      <c r="F257" s="3">
        <v>376.37378571257045</v>
      </c>
      <c r="G257" s="4">
        <v>0.20260599816321512</v>
      </c>
    </row>
    <row r="258" spans="5:7" x14ac:dyDescent="0.35">
      <c r="E258">
        <v>233</v>
      </c>
      <c r="F258" s="3">
        <v>475.30552803973137</v>
      </c>
      <c r="G258" s="4">
        <v>0.22947819383054591</v>
      </c>
    </row>
    <row r="259" spans="5:7" x14ac:dyDescent="0.35">
      <c r="E259">
        <v>234</v>
      </c>
      <c r="F259" s="3">
        <v>507.86232563869953</v>
      </c>
      <c r="G259" s="4">
        <v>0.24652242195420127</v>
      </c>
    </row>
    <row r="260" spans="5:7" x14ac:dyDescent="0.35">
      <c r="E260">
        <v>235</v>
      </c>
      <c r="F260" s="3">
        <v>532.90554717460282</v>
      </c>
      <c r="G260" s="4">
        <v>0.24187241633264622</v>
      </c>
    </row>
    <row r="261" spans="5:7" x14ac:dyDescent="0.35">
      <c r="E261">
        <v>236</v>
      </c>
      <c r="F261" s="3">
        <v>478.19672292256519</v>
      </c>
      <c r="G261" s="4">
        <v>0.23349781227428612</v>
      </c>
    </row>
    <row r="262" spans="5:7" x14ac:dyDescent="0.35">
      <c r="E262">
        <v>237</v>
      </c>
      <c r="F262" s="3">
        <v>417.3151547227194</v>
      </c>
      <c r="G262" s="4">
        <v>0.2177668988230963</v>
      </c>
    </row>
    <row r="263" spans="5:7" x14ac:dyDescent="0.35">
      <c r="E263">
        <v>238</v>
      </c>
      <c r="F263" s="3">
        <v>473.68444178701975</v>
      </c>
      <c r="G263" s="4">
        <v>0.23501326250537247</v>
      </c>
    </row>
    <row r="264" spans="5:7" x14ac:dyDescent="0.35">
      <c r="E264">
        <v>239</v>
      </c>
      <c r="F264" s="3">
        <v>357.31547252292671</v>
      </c>
      <c r="G264" s="4">
        <v>0.19881079285152792</v>
      </c>
    </row>
    <row r="265" spans="5:7" x14ac:dyDescent="0.35">
      <c r="E265">
        <v>240</v>
      </c>
      <c r="F265" s="3">
        <v>595.72707907591825</v>
      </c>
      <c r="G265" s="4">
        <v>0.26131174385455536</v>
      </c>
    </row>
    <row r="266" spans="5:7" x14ac:dyDescent="0.35">
      <c r="E266">
        <v>241</v>
      </c>
      <c r="F266" s="3">
        <v>480.95010695679707</v>
      </c>
      <c r="G266" s="4">
        <v>0.22803309047119846</v>
      </c>
    </row>
    <row r="267" spans="5:7" x14ac:dyDescent="0.35">
      <c r="E267">
        <v>242</v>
      </c>
      <c r="F267" s="3">
        <v>435.92286264278209</v>
      </c>
      <c r="G267" s="4">
        <v>0.22294522480706802</v>
      </c>
    </row>
    <row r="268" spans="5:7" x14ac:dyDescent="0.35">
      <c r="E268">
        <v>243</v>
      </c>
      <c r="F268" s="3">
        <v>560.04285309763736</v>
      </c>
      <c r="G268" s="4">
        <v>0.26302540037959599</v>
      </c>
    </row>
    <row r="269" spans="5:7" x14ac:dyDescent="0.35">
      <c r="E269">
        <v>244</v>
      </c>
      <c r="F269" s="3">
        <v>273.59910070362139</v>
      </c>
      <c r="G269" s="4">
        <v>0.17309133633701013</v>
      </c>
    </row>
    <row r="270" spans="5:7" x14ac:dyDescent="0.35">
      <c r="E270">
        <v>245</v>
      </c>
      <c r="F270" s="3">
        <v>501.33323977949453</v>
      </c>
      <c r="G270" s="4">
        <v>0.25017626718057362</v>
      </c>
    </row>
    <row r="271" spans="5:7" x14ac:dyDescent="0.35">
      <c r="E271">
        <v>246</v>
      </c>
      <c r="F271" s="3">
        <v>472.14631943773566</v>
      </c>
      <c r="G271" s="4">
        <v>0.22657736443390042</v>
      </c>
    </row>
    <row r="272" spans="5:7" x14ac:dyDescent="0.35">
      <c r="E272">
        <v>247</v>
      </c>
      <c r="F272" s="3">
        <v>634.59120629069093</v>
      </c>
      <c r="G272" s="4">
        <v>0.28754209989007218</v>
      </c>
    </row>
    <row r="273" spans="5:7" x14ac:dyDescent="0.35">
      <c r="E273">
        <v>248</v>
      </c>
      <c r="F273" s="3">
        <v>350.94680948980863</v>
      </c>
      <c r="G273" s="4">
        <v>0.18649161593829588</v>
      </c>
    </row>
    <row r="274" spans="5:7" x14ac:dyDescent="0.35">
      <c r="E274">
        <v>249</v>
      </c>
      <c r="F274" s="3">
        <v>508.87504102160415</v>
      </c>
      <c r="G274" s="4">
        <v>0.26521979640101478</v>
      </c>
    </row>
    <row r="275" spans="5:7" x14ac:dyDescent="0.35">
      <c r="E275">
        <v>250</v>
      </c>
      <c r="F275" s="3">
        <v>499.39223101386506</v>
      </c>
      <c r="G275" s="4">
        <v>0.23557988548214714</v>
      </c>
    </row>
    <row r="276" spans="5:7" x14ac:dyDescent="0.35">
      <c r="E276">
        <v>251</v>
      </c>
      <c r="F276" s="3">
        <v>513.88540243810439</v>
      </c>
      <c r="G276" s="4">
        <v>0.24006978482191244</v>
      </c>
    </row>
    <row r="277" spans="5:7" x14ac:dyDescent="0.35">
      <c r="E277">
        <v>252</v>
      </c>
      <c r="F277" s="3">
        <v>465.72191212352459</v>
      </c>
      <c r="G277" s="4">
        <v>0.22983182150900361</v>
      </c>
    </row>
    <row r="278" spans="5:7" x14ac:dyDescent="0.35">
      <c r="E278">
        <v>253</v>
      </c>
      <c r="F278" s="3">
        <v>436.61445307122631</v>
      </c>
      <c r="G278" s="4">
        <v>0.21326179669868917</v>
      </c>
    </row>
    <row r="279" spans="5:7" x14ac:dyDescent="0.35">
      <c r="E279">
        <v>254</v>
      </c>
      <c r="F279" s="3">
        <v>520.05701189740876</v>
      </c>
      <c r="G279" s="4">
        <v>0.25528733763179812</v>
      </c>
    </row>
    <row r="280" spans="5:7" x14ac:dyDescent="0.35">
      <c r="E280">
        <v>255</v>
      </c>
      <c r="F280" s="3">
        <v>349.05980891054992</v>
      </c>
      <c r="G280" s="4">
        <v>0.19898218246394284</v>
      </c>
    </row>
    <row r="281" spans="5:7" x14ac:dyDescent="0.35">
      <c r="E281">
        <v>256</v>
      </c>
      <c r="F281" s="3">
        <v>334.71887721058533</v>
      </c>
      <c r="G281" s="4">
        <v>0.20015838244625495</v>
      </c>
    </row>
    <row r="282" spans="5:7" x14ac:dyDescent="0.35">
      <c r="E282">
        <v>257</v>
      </c>
      <c r="F282" s="3">
        <v>239.52489464975167</v>
      </c>
      <c r="G282" s="4">
        <v>0.16091381251346237</v>
      </c>
    </row>
    <row r="283" spans="5:7" x14ac:dyDescent="0.35">
      <c r="E283">
        <v>258</v>
      </c>
      <c r="F283" s="3">
        <v>527.98122634203946</v>
      </c>
      <c r="G283" s="4">
        <v>0.25048015635871668</v>
      </c>
    </row>
    <row r="284" spans="5:7" x14ac:dyDescent="0.35">
      <c r="E284">
        <v>259</v>
      </c>
      <c r="F284" s="3">
        <v>481.52639609210746</v>
      </c>
      <c r="G284" s="4">
        <v>0.23545254249563974</v>
      </c>
    </row>
    <row r="285" spans="5:7" x14ac:dyDescent="0.35">
      <c r="E285">
        <v>260</v>
      </c>
      <c r="F285" s="3">
        <v>357.82592018276796</v>
      </c>
      <c r="G285" s="4">
        <v>0.19278909103920494</v>
      </c>
    </row>
    <row r="286" spans="5:7" x14ac:dyDescent="0.35">
      <c r="E286">
        <v>261</v>
      </c>
      <c r="F286" s="3">
        <v>286.72175845069069</v>
      </c>
      <c r="G286" s="4">
        <v>0.17947499720746185</v>
      </c>
    </row>
    <row r="287" spans="5:7" x14ac:dyDescent="0.35">
      <c r="E287">
        <v>262</v>
      </c>
      <c r="F287" s="3">
        <v>376.54864714558812</v>
      </c>
      <c r="G287" s="4">
        <v>0.20595613905304244</v>
      </c>
    </row>
    <row r="288" spans="5:7" x14ac:dyDescent="0.35">
      <c r="E288">
        <v>263</v>
      </c>
      <c r="F288" s="3">
        <v>400.50686383553375</v>
      </c>
      <c r="G288" s="4">
        <v>0.20343558885197899</v>
      </c>
    </row>
    <row r="289" spans="5:7" x14ac:dyDescent="0.35">
      <c r="E289">
        <v>264</v>
      </c>
      <c r="F289" s="3">
        <v>362.52600790810243</v>
      </c>
      <c r="G289" s="4">
        <v>0.20644194610854916</v>
      </c>
    </row>
    <row r="290" spans="5:7" x14ac:dyDescent="0.35">
      <c r="E290">
        <v>265</v>
      </c>
      <c r="F290" s="3">
        <v>414.07068789918867</v>
      </c>
      <c r="G290" s="4">
        <v>0.21301941177992934</v>
      </c>
    </row>
    <row r="291" spans="5:7" x14ac:dyDescent="0.35">
      <c r="E291">
        <v>266</v>
      </c>
      <c r="F291" s="3">
        <v>563.33568346041079</v>
      </c>
      <c r="G291" s="4">
        <v>0.25937931279287363</v>
      </c>
    </row>
    <row r="292" spans="5:7" x14ac:dyDescent="0.35">
      <c r="E292">
        <v>267</v>
      </c>
      <c r="F292" s="3">
        <v>586.10846587114884</v>
      </c>
      <c r="G292" s="4">
        <v>0.27844350705547871</v>
      </c>
    </row>
    <row r="293" spans="5:7" x14ac:dyDescent="0.35">
      <c r="E293">
        <v>268</v>
      </c>
      <c r="F293" s="3">
        <v>534.26925826254228</v>
      </c>
      <c r="G293" s="4">
        <v>0.24223380597334643</v>
      </c>
    </row>
    <row r="294" spans="5:7" x14ac:dyDescent="0.35">
      <c r="E294">
        <v>269</v>
      </c>
      <c r="F294" s="3">
        <v>422.77708066054515</v>
      </c>
      <c r="G294" s="4">
        <v>0.22569482238947591</v>
      </c>
    </row>
    <row r="295" spans="5:7" x14ac:dyDescent="0.35">
      <c r="E295">
        <v>270</v>
      </c>
      <c r="F295" s="3">
        <v>377.60019445935836</v>
      </c>
      <c r="G295" s="4">
        <v>0.20102038822236068</v>
      </c>
    </row>
    <row r="296" spans="5:7" x14ac:dyDescent="0.35">
      <c r="E296">
        <v>271</v>
      </c>
      <c r="F296" s="3">
        <v>111.81038639283179</v>
      </c>
      <c r="G296" s="4">
        <v>0.1323569475275026</v>
      </c>
    </row>
    <row r="297" spans="5:7" x14ac:dyDescent="0.35">
      <c r="E297">
        <v>272</v>
      </c>
      <c r="F297" s="3">
        <v>344.85906138669134</v>
      </c>
      <c r="G297" s="4">
        <v>0.20737093988332411</v>
      </c>
    </row>
    <row r="298" spans="5:7" x14ac:dyDescent="0.35">
      <c r="E298">
        <v>273</v>
      </c>
      <c r="F298" s="3">
        <v>611.89242436721725</v>
      </c>
      <c r="G298" s="4">
        <v>0.27986435091581963</v>
      </c>
    </row>
    <row r="299" spans="5:7" x14ac:dyDescent="0.35">
      <c r="E299">
        <v>274</v>
      </c>
      <c r="F299" s="3">
        <v>285.55054175073701</v>
      </c>
      <c r="G299" s="4">
        <v>0.17600599757165791</v>
      </c>
    </row>
    <row r="300" spans="5:7" x14ac:dyDescent="0.35">
      <c r="E300">
        <v>275</v>
      </c>
      <c r="F300" s="3">
        <v>506.77798952865146</v>
      </c>
      <c r="G300" s="4">
        <v>0.24050100338032387</v>
      </c>
    </row>
    <row r="301" spans="5:7" x14ac:dyDescent="0.35">
      <c r="E301">
        <v>276</v>
      </c>
      <c r="F301" s="3">
        <v>372.95623450373182</v>
      </c>
      <c r="G301" s="4">
        <v>0.20528436189726396</v>
      </c>
    </row>
    <row r="302" spans="5:7" x14ac:dyDescent="0.35">
      <c r="E302">
        <v>277</v>
      </c>
      <c r="F302" s="3">
        <v>367.62197326774685</v>
      </c>
      <c r="G302" s="4">
        <v>0.20931819406172947</v>
      </c>
    </row>
    <row r="303" spans="5:7" x14ac:dyDescent="0.35">
      <c r="E303">
        <v>278</v>
      </c>
      <c r="F303" s="3">
        <v>403.90305111001612</v>
      </c>
      <c r="G303" s="4">
        <v>0.21031859952683729</v>
      </c>
    </row>
    <row r="304" spans="5:7" x14ac:dyDescent="0.35">
      <c r="E304">
        <v>279</v>
      </c>
      <c r="F304" s="3">
        <v>241.2944826752713</v>
      </c>
      <c r="G304" s="4">
        <v>0.16993480531425464</v>
      </c>
    </row>
    <row r="305" spans="5:7" x14ac:dyDescent="0.35">
      <c r="E305">
        <v>280</v>
      </c>
      <c r="F305" s="3">
        <v>363.46309219616182</v>
      </c>
      <c r="G305" s="4">
        <v>0.20967129672316909</v>
      </c>
    </row>
    <row r="306" spans="5:7" x14ac:dyDescent="0.35">
      <c r="E306">
        <v>281</v>
      </c>
      <c r="F306" s="3">
        <v>359.53539922139294</v>
      </c>
      <c r="G306" s="4">
        <v>0.21194390785851525</v>
      </c>
    </row>
    <row r="307" spans="5:7" x14ac:dyDescent="0.35">
      <c r="E307">
        <v>282</v>
      </c>
      <c r="F307" s="3">
        <v>460.31296777144644</v>
      </c>
      <c r="G307" s="4">
        <v>0.21340555390154847</v>
      </c>
    </row>
    <row r="308" spans="5:7" x14ac:dyDescent="0.35">
      <c r="E308">
        <v>283</v>
      </c>
      <c r="F308" s="3">
        <v>318.03195308650947</v>
      </c>
      <c r="G308" s="4">
        <v>0.19036889356910347</v>
      </c>
    </row>
    <row r="309" spans="5:7" x14ac:dyDescent="0.35">
      <c r="E309">
        <v>284</v>
      </c>
      <c r="F309" s="3">
        <v>490.12980915519552</v>
      </c>
      <c r="G309" s="4">
        <v>0.23952294456805423</v>
      </c>
    </row>
    <row r="310" spans="5:7" x14ac:dyDescent="0.35">
      <c r="E310">
        <v>285</v>
      </c>
      <c r="F310" s="3">
        <v>408.31366376173582</v>
      </c>
      <c r="G310" s="4">
        <v>0.22021944993805853</v>
      </c>
    </row>
    <row r="311" spans="5:7" x14ac:dyDescent="0.35">
      <c r="E311">
        <v>286</v>
      </c>
      <c r="F311" s="3">
        <v>418.30058090858779</v>
      </c>
      <c r="G311" s="4">
        <v>0.20959192692282791</v>
      </c>
    </row>
    <row r="312" spans="5:7" x14ac:dyDescent="0.35">
      <c r="E312">
        <v>287</v>
      </c>
      <c r="F312" s="3">
        <v>415.12343467674486</v>
      </c>
      <c r="G312" s="4">
        <v>0.2164329506190521</v>
      </c>
    </row>
    <row r="313" spans="5:7" x14ac:dyDescent="0.35">
      <c r="E313">
        <v>288</v>
      </c>
      <c r="F313" s="3">
        <v>200.05642494218625</v>
      </c>
      <c r="G313" s="4">
        <v>0.15680206951235109</v>
      </c>
    </row>
    <row r="314" spans="5:7" x14ac:dyDescent="0.35">
      <c r="E314">
        <v>289</v>
      </c>
      <c r="F314" s="3">
        <v>303.55777926136875</v>
      </c>
      <c r="G314" s="4">
        <v>0.18573198812709979</v>
      </c>
    </row>
    <row r="315" spans="5:7" x14ac:dyDescent="0.35">
      <c r="E315">
        <v>290</v>
      </c>
      <c r="F315" s="3">
        <v>257.86772493366732</v>
      </c>
      <c r="G315" s="4">
        <v>0.17251715903256448</v>
      </c>
    </row>
    <row r="316" spans="5:7" x14ac:dyDescent="0.35">
      <c r="E316">
        <v>291</v>
      </c>
      <c r="F316" s="3">
        <v>395.31800937212302</v>
      </c>
      <c r="G316" s="4">
        <v>0.21360291299900158</v>
      </c>
    </row>
    <row r="317" spans="5:7" x14ac:dyDescent="0.35">
      <c r="E317">
        <v>292</v>
      </c>
      <c r="F317" s="3">
        <v>323.30159800268143</v>
      </c>
      <c r="G317" s="4">
        <v>0.19920312642799054</v>
      </c>
    </row>
    <row r="318" spans="5:7" x14ac:dyDescent="0.35">
      <c r="E318">
        <v>293</v>
      </c>
      <c r="F318" s="3">
        <v>317.54515862224684</v>
      </c>
      <c r="G318" s="4">
        <v>0.19898158984956571</v>
      </c>
    </row>
    <row r="319" spans="5:7" x14ac:dyDescent="0.35">
      <c r="E319">
        <v>294</v>
      </c>
      <c r="F319" s="3">
        <v>264.45866871487465</v>
      </c>
      <c r="G319" s="4">
        <v>0.17387038030167212</v>
      </c>
    </row>
    <row r="320" spans="5:7" x14ac:dyDescent="0.35">
      <c r="E320">
        <v>295</v>
      </c>
      <c r="F320" s="3">
        <v>432.61914130214609</v>
      </c>
      <c r="G320" s="4">
        <v>0.21692658107870066</v>
      </c>
    </row>
    <row r="321" spans="5:7" x14ac:dyDescent="0.35">
      <c r="E321">
        <v>296</v>
      </c>
      <c r="F321" s="3">
        <v>440.37494938599434</v>
      </c>
      <c r="G321" s="4">
        <v>0.22493906879152847</v>
      </c>
    </row>
    <row r="322" spans="5:7" x14ac:dyDescent="0.35">
      <c r="E322">
        <v>297</v>
      </c>
      <c r="F322" s="3">
        <v>429.60067374882874</v>
      </c>
      <c r="G322" s="4">
        <v>0.21769246111477281</v>
      </c>
    </row>
    <row r="323" spans="5:7" x14ac:dyDescent="0.35">
      <c r="E323">
        <v>298</v>
      </c>
      <c r="F323" s="3">
        <v>531.26567530954662</v>
      </c>
      <c r="G323" s="4">
        <v>0.25050505597559702</v>
      </c>
    </row>
    <row r="324" spans="5:7" x14ac:dyDescent="0.35">
      <c r="E324">
        <v>299</v>
      </c>
      <c r="F324" s="3">
        <v>394.16199111015294</v>
      </c>
      <c r="G324" s="4">
        <v>0.20835516413649913</v>
      </c>
    </row>
    <row r="325" spans="5:7" x14ac:dyDescent="0.35">
      <c r="E325">
        <v>300</v>
      </c>
      <c r="F325" s="3">
        <v>167.4873169671755</v>
      </c>
      <c r="G325" s="4">
        <v>0.14691566088201014</v>
      </c>
    </row>
    <row r="326" spans="5:7" x14ac:dyDescent="0.35">
      <c r="E326">
        <v>301</v>
      </c>
      <c r="F326" s="3">
        <v>322.33491664952862</v>
      </c>
      <c r="G326" s="4">
        <v>0.17954830419360857</v>
      </c>
    </row>
    <row r="327" spans="5:7" x14ac:dyDescent="0.35">
      <c r="E327">
        <v>302</v>
      </c>
      <c r="F327" s="3">
        <v>543.68504587394591</v>
      </c>
      <c r="G327" s="4">
        <v>0.24870930022489657</v>
      </c>
    </row>
    <row r="328" spans="5:7" x14ac:dyDescent="0.35">
      <c r="E328">
        <v>303</v>
      </c>
      <c r="F328" s="3">
        <v>638.29656822918651</v>
      </c>
      <c r="G328" s="4">
        <v>0.29072744638372439</v>
      </c>
    </row>
    <row r="329" spans="5:7" x14ac:dyDescent="0.35">
      <c r="E329">
        <v>304</v>
      </c>
      <c r="F329" s="3">
        <v>557.10165428686491</v>
      </c>
      <c r="G329" s="4">
        <v>0.24827538415053474</v>
      </c>
    </row>
    <row r="330" spans="5:7" x14ac:dyDescent="0.35">
      <c r="E330">
        <v>305</v>
      </c>
      <c r="F330" s="3">
        <v>542.92011819447293</v>
      </c>
      <c r="G330" s="4">
        <v>0.24422060778309174</v>
      </c>
    </row>
    <row r="331" spans="5:7" x14ac:dyDescent="0.35">
      <c r="E331">
        <v>306</v>
      </c>
      <c r="F331" s="3">
        <v>509.45680596694319</v>
      </c>
      <c r="G331" s="4">
        <v>0.23639298134127462</v>
      </c>
    </row>
    <row r="332" spans="5:7" x14ac:dyDescent="0.35">
      <c r="E332">
        <v>307</v>
      </c>
      <c r="F332" s="3">
        <v>539.08362238574455</v>
      </c>
      <c r="G332" s="4">
        <v>0.26012168031115879</v>
      </c>
    </row>
    <row r="333" spans="5:7" x14ac:dyDescent="0.35">
      <c r="E333">
        <v>308</v>
      </c>
      <c r="F333" s="3">
        <v>300.89668003548354</v>
      </c>
      <c r="G333" s="4">
        <v>0.1896918047591829</v>
      </c>
    </row>
    <row r="334" spans="5:7" x14ac:dyDescent="0.35">
      <c r="E334">
        <v>309</v>
      </c>
      <c r="F334" s="3">
        <v>526.36209109140123</v>
      </c>
      <c r="G334" s="4">
        <v>0.24704317494632932</v>
      </c>
    </row>
    <row r="335" spans="5:7" x14ac:dyDescent="0.35">
      <c r="E335">
        <v>310</v>
      </c>
      <c r="F335" s="3">
        <v>341.53916158808011</v>
      </c>
      <c r="G335" s="4">
        <v>0.18889011353450091</v>
      </c>
    </row>
    <row r="336" spans="5:7" x14ac:dyDescent="0.35">
      <c r="E336">
        <v>311</v>
      </c>
      <c r="F336" s="3">
        <v>526.91766446663109</v>
      </c>
      <c r="G336" s="4">
        <v>0.25136641464923892</v>
      </c>
    </row>
    <row r="337" spans="5:7" x14ac:dyDescent="0.35">
      <c r="E337">
        <v>312</v>
      </c>
      <c r="F337" s="3">
        <v>438.0919998337431</v>
      </c>
      <c r="G337" s="4">
        <v>0.22169201939334271</v>
      </c>
    </row>
    <row r="338" spans="5:7" x14ac:dyDescent="0.35">
      <c r="E338">
        <v>313</v>
      </c>
      <c r="F338" s="3">
        <v>466.73698553351937</v>
      </c>
      <c r="G338" s="4">
        <v>0.23310424865169876</v>
      </c>
    </row>
    <row r="339" spans="5:7" x14ac:dyDescent="0.35">
      <c r="E339">
        <v>314</v>
      </c>
      <c r="F339" s="3">
        <v>100.60207989996343</v>
      </c>
      <c r="G339" s="4">
        <v>0.12822361750670086</v>
      </c>
    </row>
    <row r="340" spans="5:7" x14ac:dyDescent="0.35">
      <c r="E340">
        <v>315</v>
      </c>
      <c r="F340" s="3">
        <v>474.53057569644102</v>
      </c>
      <c r="G340" s="4">
        <v>0.23262427221030402</v>
      </c>
    </row>
    <row r="341" spans="5:7" x14ac:dyDescent="0.35">
      <c r="E341">
        <v>316</v>
      </c>
      <c r="F341" s="3">
        <v>241.46221232596804</v>
      </c>
      <c r="G341" s="4">
        <v>0.16481959487059039</v>
      </c>
    </row>
    <row r="342" spans="5:7" x14ac:dyDescent="0.35">
      <c r="E342">
        <v>317</v>
      </c>
      <c r="F342" s="3">
        <v>357.19114614728392</v>
      </c>
      <c r="G342" s="4">
        <v>0.19606343059479525</v>
      </c>
    </row>
    <row r="343" spans="5:7" x14ac:dyDescent="0.35">
      <c r="E343">
        <v>318</v>
      </c>
      <c r="F343" s="3">
        <v>413.07128898008932</v>
      </c>
      <c r="G343" s="4">
        <v>0.2076650881374511</v>
      </c>
    </row>
    <row r="344" spans="5:7" x14ac:dyDescent="0.35">
      <c r="E344">
        <v>319</v>
      </c>
      <c r="F344" s="3">
        <v>465.19171258213396</v>
      </c>
      <c r="G344" s="4">
        <v>0.23185135761812092</v>
      </c>
    </row>
    <row r="345" spans="5:7" x14ac:dyDescent="0.35">
      <c r="E345">
        <v>320</v>
      </c>
      <c r="F345" s="3">
        <v>387.0783773863136</v>
      </c>
      <c r="G345" s="4">
        <v>0.20397612040552793</v>
      </c>
    </row>
    <row r="346" spans="5:7" x14ac:dyDescent="0.35">
      <c r="E346">
        <v>321</v>
      </c>
      <c r="F346" s="3">
        <v>561.44771969537601</v>
      </c>
      <c r="G346" s="4">
        <v>0.26219867787877638</v>
      </c>
    </row>
    <row r="347" spans="5:7" x14ac:dyDescent="0.35">
      <c r="E347">
        <v>322</v>
      </c>
      <c r="F347" s="3">
        <v>440.45181406450638</v>
      </c>
      <c r="G347" s="4">
        <v>0.22149056145895551</v>
      </c>
    </row>
    <row r="348" spans="5:7" x14ac:dyDescent="0.35">
      <c r="E348">
        <v>323</v>
      </c>
      <c r="F348" s="3">
        <v>586.94430079397875</v>
      </c>
      <c r="G348" s="4">
        <v>0.26205463492209691</v>
      </c>
    </row>
    <row r="349" spans="5:7" x14ac:dyDescent="0.35">
      <c r="E349">
        <v>324</v>
      </c>
      <c r="F349" s="3">
        <v>377.67775061245538</v>
      </c>
      <c r="G349" s="4">
        <v>0.20986829872446022</v>
      </c>
    </row>
    <row r="350" spans="5:7" x14ac:dyDescent="0.35">
      <c r="E350">
        <v>325</v>
      </c>
      <c r="F350" s="3">
        <v>352.58359592020156</v>
      </c>
      <c r="G350" s="4">
        <v>0.19295676782416105</v>
      </c>
    </row>
    <row r="351" spans="5:7" x14ac:dyDescent="0.35">
      <c r="E351">
        <v>326</v>
      </c>
      <c r="F351" s="3">
        <v>624.33899524719891</v>
      </c>
      <c r="G351" s="4">
        <v>0.27984310846174409</v>
      </c>
    </row>
    <row r="352" spans="5:7" x14ac:dyDescent="0.35">
      <c r="E352">
        <v>327</v>
      </c>
      <c r="F352" s="3">
        <v>338.12344017160376</v>
      </c>
      <c r="G352" s="4">
        <v>0.19612024053141774</v>
      </c>
    </row>
    <row r="353" spans="5:7" x14ac:dyDescent="0.35">
      <c r="E353">
        <v>328</v>
      </c>
      <c r="F353" s="3">
        <v>453.74775598566725</v>
      </c>
      <c r="G353" s="4">
        <v>0.22364188760425252</v>
      </c>
    </row>
    <row r="354" spans="5:7" x14ac:dyDescent="0.35">
      <c r="E354">
        <v>329</v>
      </c>
      <c r="F354" s="3">
        <v>501.38388072471253</v>
      </c>
      <c r="G354" s="4">
        <v>0.23114319273381789</v>
      </c>
    </row>
    <row r="355" spans="5:7" x14ac:dyDescent="0.35">
      <c r="E355">
        <v>330</v>
      </c>
      <c r="F355" s="3">
        <v>297.26393910047796</v>
      </c>
      <c r="G355" s="4">
        <v>0.18414013915909888</v>
      </c>
    </row>
    <row r="356" spans="5:7" x14ac:dyDescent="0.35">
      <c r="E356">
        <v>331</v>
      </c>
      <c r="F356" s="3">
        <v>495.79024517320954</v>
      </c>
      <c r="G356" s="4">
        <v>0.24136124957458804</v>
      </c>
    </row>
    <row r="357" spans="5:7" x14ac:dyDescent="0.35">
      <c r="E357">
        <v>332</v>
      </c>
      <c r="F357" s="3">
        <v>456.74693835684229</v>
      </c>
      <c r="G357" s="4">
        <v>0.22958600546702446</v>
      </c>
    </row>
    <row r="358" spans="5:7" x14ac:dyDescent="0.35">
      <c r="E358">
        <v>333</v>
      </c>
      <c r="F358" s="3">
        <v>344.98357621193009</v>
      </c>
      <c r="G358" s="4">
        <v>0.19299600466997524</v>
      </c>
    </row>
    <row r="359" spans="5:7" x14ac:dyDescent="0.35">
      <c r="E359">
        <v>334</v>
      </c>
      <c r="F359" s="3">
        <v>525.20238621222438</v>
      </c>
      <c r="G359" s="4">
        <v>0.25968775918249931</v>
      </c>
    </row>
    <row r="360" spans="5:7" x14ac:dyDescent="0.35">
      <c r="E360">
        <v>335</v>
      </c>
      <c r="F360" s="3">
        <v>471.77650882723265</v>
      </c>
      <c r="G360" s="4">
        <v>0.24014057827833346</v>
      </c>
    </row>
    <row r="361" spans="5:7" x14ac:dyDescent="0.35">
      <c r="E361">
        <v>336</v>
      </c>
      <c r="F361" s="3">
        <v>448.08981726817296</v>
      </c>
      <c r="G361" s="4">
        <v>0.21769900819236465</v>
      </c>
    </row>
    <row r="362" spans="5:7" x14ac:dyDescent="0.35">
      <c r="E362">
        <v>337</v>
      </c>
      <c r="F362" s="3">
        <v>559.49571189907124</v>
      </c>
      <c r="G362" s="4">
        <v>0.25444829853452888</v>
      </c>
    </row>
    <row r="363" spans="5:7" x14ac:dyDescent="0.35">
      <c r="E363">
        <v>338</v>
      </c>
      <c r="F363" s="3">
        <v>581.53913784726774</v>
      </c>
      <c r="G363" s="4">
        <v>0.28090717438395774</v>
      </c>
    </row>
    <row r="364" spans="5:7" x14ac:dyDescent="0.35">
      <c r="E364">
        <v>339</v>
      </c>
      <c r="F364" s="3">
        <v>643.96499945316305</v>
      </c>
      <c r="G364" s="4">
        <v>0.27656647765800413</v>
      </c>
    </row>
    <row r="365" spans="5:7" x14ac:dyDescent="0.35">
      <c r="E365">
        <v>340</v>
      </c>
      <c r="F365" s="3">
        <v>430.54587588480331</v>
      </c>
      <c r="G365" s="4">
        <v>0.22414314701214755</v>
      </c>
    </row>
    <row r="366" spans="5:7" x14ac:dyDescent="0.35">
      <c r="E366">
        <v>341</v>
      </c>
      <c r="F366" s="3">
        <v>338.56998161120896</v>
      </c>
      <c r="G366" s="4">
        <v>0.19861457001517202</v>
      </c>
    </row>
    <row r="367" spans="5:7" x14ac:dyDescent="0.35">
      <c r="E367">
        <v>342</v>
      </c>
      <c r="F367" s="3">
        <v>506.55059936578687</v>
      </c>
      <c r="G367" s="4">
        <v>0.23936500727776089</v>
      </c>
    </row>
    <row r="368" spans="5:7" x14ac:dyDescent="0.35">
      <c r="E368">
        <v>343</v>
      </c>
      <c r="F368" s="3">
        <v>504.28577045497946</v>
      </c>
      <c r="G368" s="4">
        <v>0.25344789582964111</v>
      </c>
    </row>
    <row r="369" spans="5:7" x14ac:dyDescent="0.35">
      <c r="E369">
        <v>344</v>
      </c>
      <c r="F369" s="3">
        <v>484.61772501212499</v>
      </c>
      <c r="G369" s="4">
        <v>0.23414573126480609</v>
      </c>
    </row>
    <row r="370" spans="5:7" x14ac:dyDescent="0.35">
      <c r="E370">
        <v>345</v>
      </c>
      <c r="F370" s="3">
        <v>264.93470254693943</v>
      </c>
      <c r="G370" s="4">
        <v>0.17643488447402045</v>
      </c>
    </row>
    <row r="371" spans="5:7" x14ac:dyDescent="0.35">
      <c r="E371">
        <v>346</v>
      </c>
      <c r="F371" s="3">
        <v>402.78395743185388</v>
      </c>
      <c r="G371" s="4">
        <v>0.21942738638506709</v>
      </c>
    </row>
    <row r="372" spans="5:7" x14ac:dyDescent="0.35">
      <c r="E372">
        <v>347</v>
      </c>
      <c r="F372" s="3">
        <v>455.95710079284686</v>
      </c>
      <c r="G372" s="4">
        <v>0.22714223470743344</v>
      </c>
    </row>
    <row r="373" spans="5:7" x14ac:dyDescent="0.35">
      <c r="E373">
        <v>348</v>
      </c>
      <c r="F373" s="3">
        <v>391.34133536229774</v>
      </c>
      <c r="G373" s="4">
        <v>0.20785285700441203</v>
      </c>
    </row>
    <row r="374" spans="5:7" x14ac:dyDescent="0.35">
      <c r="E374">
        <v>349</v>
      </c>
      <c r="F374" s="3">
        <v>429.61038584766675</v>
      </c>
      <c r="G374" s="4">
        <v>0.21669546715455668</v>
      </c>
    </row>
    <row r="375" spans="5:7" x14ac:dyDescent="0.35">
      <c r="E375">
        <v>350</v>
      </c>
      <c r="F375" s="3">
        <v>375.98483728677138</v>
      </c>
      <c r="G375" s="4">
        <v>0.21528080492946522</v>
      </c>
    </row>
    <row r="376" spans="5:7" x14ac:dyDescent="0.35">
      <c r="E376">
        <v>351</v>
      </c>
      <c r="F376" s="3">
        <v>308.78771772576761</v>
      </c>
      <c r="G376" s="4">
        <v>0.17897555509071728</v>
      </c>
    </row>
    <row r="377" spans="5:7" x14ac:dyDescent="0.35">
      <c r="E377">
        <v>352</v>
      </c>
      <c r="F377" s="3">
        <v>415.1661881274913</v>
      </c>
      <c r="G377" s="4">
        <v>0.21548081292008625</v>
      </c>
    </row>
    <row r="378" spans="5:7" x14ac:dyDescent="0.35">
      <c r="E378">
        <v>353</v>
      </c>
      <c r="F378" s="3">
        <v>359.43969363143492</v>
      </c>
      <c r="G378" s="4">
        <v>0.19617747118992912</v>
      </c>
    </row>
    <row r="379" spans="5:7" x14ac:dyDescent="0.35">
      <c r="E379">
        <v>354</v>
      </c>
      <c r="F379" s="3">
        <v>464.06304422273251</v>
      </c>
      <c r="G379" s="4">
        <v>0.23627913035699377</v>
      </c>
    </row>
    <row r="380" spans="5:7" x14ac:dyDescent="0.35">
      <c r="E380">
        <v>355</v>
      </c>
      <c r="F380" s="3">
        <v>605.66562505039929</v>
      </c>
      <c r="G380" s="4">
        <v>0.25270710746773672</v>
      </c>
    </row>
    <row r="381" spans="5:7" x14ac:dyDescent="0.35">
      <c r="E381">
        <v>356</v>
      </c>
      <c r="F381" s="3">
        <v>418.70562514988615</v>
      </c>
      <c r="G381" s="4">
        <v>0.21573848766720505</v>
      </c>
    </row>
    <row r="382" spans="5:7" x14ac:dyDescent="0.35">
      <c r="E382">
        <v>357</v>
      </c>
      <c r="F382" s="3">
        <v>685.66070686681655</v>
      </c>
      <c r="G382" s="4">
        <v>0.28938420811193355</v>
      </c>
    </row>
    <row r="383" spans="5:7" x14ac:dyDescent="0.35">
      <c r="E383">
        <v>358</v>
      </c>
      <c r="F383" s="3">
        <v>427.71138081405502</v>
      </c>
      <c r="G383" s="4">
        <v>0.22991753032959261</v>
      </c>
    </row>
    <row r="384" spans="5:7" x14ac:dyDescent="0.35">
      <c r="E384">
        <v>359</v>
      </c>
      <c r="F384" s="3">
        <v>556.53143567851725</v>
      </c>
      <c r="G384" s="4">
        <v>0.25960232821569407</v>
      </c>
    </row>
    <row r="385" spans="5:7" x14ac:dyDescent="0.35">
      <c r="E385">
        <v>360</v>
      </c>
      <c r="F385" s="3">
        <v>298.85134519942312</v>
      </c>
      <c r="G385" s="4">
        <v>0.17814537241933426</v>
      </c>
    </row>
    <row r="386" spans="5:7" x14ac:dyDescent="0.35">
      <c r="E386">
        <v>361</v>
      </c>
      <c r="F386" s="3">
        <v>265.1617714578872</v>
      </c>
      <c r="G386" s="4">
        <v>0.18119062678540354</v>
      </c>
    </row>
    <row r="387" spans="5:7" x14ac:dyDescent="0.35">
      <c r="E387">
        <v>362</v>
      </c>
      <c r="F387" s="3">
        <v>439.98537558870089</v>
      </c>
      <c r="G387" s="4">
        <v>0.22226381031849129</v>
      </c>
    </row>
    <row r="388" spans="5:7" x14ac:dyDescent="0.35">
      <c r="E388">
        <v>363</v>
      </c>
      <c r="F388" s="3">
        <v>280.09484199868325</v>
      </c>
      <c r="G388" s="4">
        <v>0.17484816914370915</v>
      </c>
    </row>
    <row r="389" spans="5:7" x14ac:dyDescent="0.35">
      <c r="E389">
        <v>364</v>
      </c>
      <c r="F389" s="3">
        <v>306.26722038474509</v>
      </c>
      <c r="G389" s="4">
        <v>0.18748444254962737</v>
      </c>
    </row>
    <row r="390" spans="5:7" x14ac:dyDescent="0.35">
      <c r="E390">
        <v>365</v>
      </c>
      <c r="F390" s="3">
        <v>647.4062715453374</v>
      </c>
      <c r="G390" s="4">
        <v>0.28087250710345057</v>
      </c>
    </row>
    <row r="391" spans="5:7" x14ac:dyDescent="0.35">
      <c r="E391">
        <v>366</v>
      </c>
      <c r="F391" s="3">
        <v>353.9127349520611</v>
      </c>
      <c r="G391" s="4">
        <v>0.19582763519394497</v>
      </c>
    </row>
    <row r="392" spans="5:7" x14ac:dyDescent="0.35">
      <c r="E392">
        <v>367</v>
      </c>
      <c r="F392" s="3">
        <v>462.41348542257151</v>
      </c>
      <c r="G392" s="4">
        <v>0.22748535019973759</v>
      </c>
    </row>
    <row r="393" spans="5:7" x14ac:dyDescent="0.35">
      <c r="E393">
        <v>368</v>
      </c>
      <c r="F393" s="3">
        <v>376.24627796836126</v>
      </c>
      <c r="G393" s="4">
        <v>0.20480093963363499</v>
      </c>
    </row>
    <row r="394" spans="5:7" x14ac:dyDescent="0.35">
      <c r="E394">
        <v>369</v>
      </c>
      <c r="F394" s="3">
        <v>501.08248893878067</v>
      </c>
      <c r="G394" s="4">
        <v>0.26310482008379532</v>
      </c>
    </row>
    <row r="395" spans="5:7" x14ac:dyDescent="0.35">
      <c r="E395">
        <v>370</v>
      </c>
      <c r="F395" s="3">
        <v>419.91130089827175</v>
      </c>
      <c r="G395" s="4">
        <v>0.21216918106080751</v>
      </c>
    </row>
    <row r="396" spans="5:7" x14ac:dyDescent="0.35">
      <c r="E396">
        <v>371</v>
      </c>
      <c r="F396" s="3">
        <v>588.16183147896481</v>
      </c>
      <c r="G396" s="4">
        <v>0.26653815601518027</v>
      </c>
    </row>
    <row r="397" spans="5:7" x14ac:dyDescent="0.35">
      <c r="E397">
        <v>372</v>
      </c>
      <c r="F397" s="3">
        <v>372.40739824521893</v>
      </c>
      <c r="G397" s="4">
        <v>0.19462055386650157</v>
      </c>
    </row>
    <row r="398" spans="5:7" x14ac:dyDescent="0.35">
      <c r="E398">
        <v>373</v>
      </c>
      <c r="F398" s="3">
        <v>351.35932992045264</v>
      </c>
      <c r="G398" s="4">
        <v>0.19989464826809944</v>
      </c>
    </row>
    <row r="399" spans="5:7" x14ac:dyDescent="0.35">
      <c r="E399">
        <v>374</v>
      </c>
      <c r="F399" s="3">
        <v>359.23745863507565</v>
      </c>
      <c r="G399" s="4">
        <v>0.20463362399671037</v>
      </c>
    </row>
    <row r="400" spans="5:7" x14ac:dyDescent="0.35">
      <c r="E400">
        <v>375</v>
      </c>
      <c r="F400" s="3">
        <v>483.49317703209317</v>
      </c>
      <c r="G400" s="4">
        <v>0.232208601222607</v>
      </c>
    </row>
    <row r="401" spans="5:7" x14ac:dyDescent="0.35">
      <c r="E401">
        <v>376</v>
      </c>
      <c r="F401" s="3">
        <v>283.99951649735931</v>
      </c>
      <c r="G401" s="4">
        <v>0.17744567141617074</v>
      </c>
    </row>
    <row r="402" spans="5:7" x14ac:dyDescent="0.35">
      <c r="E402">
        <v>377</v>
      </c>
      <c r="F402" s="3">
        <v>626.27557789550087</v>
      </c>
      <c r="G402" s="4">
        <v>0.26488839020141097</v>
      </c>
    </row>
    <row r="403" spans="5:7" x14ac:dyDescent="0.35">
      <c r="E403">
        <v>378</v>
      </c>
      <c r="F403" s="3">
        <v>415.36380469156097</v>
      </c>
      <c r="G403" s="4">
        <v>0.21070857490110795</v>
      </c>
    </row>
    <row r="404" spans="5:7" x14ac:dyDescent="0.35">
      <c r="E404">
        <v>379</v>
      </c>
      <c r="F404" s="3">
        <v>514.5674720658867</v>
      </c>
      <c r="G404" s="4">
        <v>0.24248802557224214</v>
      </c>
    </row>
    <row r="405" spans="5:7" x14ac:dyDescent="0.35">
      <c r="E405">
        <v>380</v>
      </c>
      <c r="F405" s="3">
        <v>403.79632531843981</v>
      </c>
      <c r="G405" s="4">
        <v>0.20919523892628256</v>
      </c>
    </row>
    <row r="406" spans="5:7" x14ac:dyDescent="0.35">
      <c r="E406">
        <v>381</v>
      </c>
      <c r="F406" s="3">
        <v>497.92984432716548</v>
      </c>
      <c r="G406" s="4">
        <v>0.24307245438655101</v>
      </c>
    </row>
    <row r="407" spans="5:7" x14ac:dyDescent="0.35">
      <c r="E407">
        <v>382</v>
      </c>
      <c r="F407" s="3">
        <v>509.79325779710325</v>
      </c>
      <c r="G407" s="4">
        <v>0.23935079460418329</v>
      </c>
    </row>
    <row r="408" spans="5:7" x14ac:dyDescent="0.35">
      <c r="E408">
        <v>383</v>
      </c>
      <c r="F408" s="3">
        <v>396.74616023476142</v>
      </c>
      <c r="G408" s="4">
        <v>0.20416080130014702</v>
      </c>
    </row>
    <row r="409" spans="5:7" x14ac:dyDescent="0.35">
      <c r="E409">
        <v>384</v>
      </c>
      <c r="F409" s="3">
        <v>680.44559843798902</v>
      </c>
      <c r="G409" s="4">
        <v>0.29279269598081759</v>
      </c>
    </row>
    <row r="410" spans="5:7" x14ac:dyDescent="0.35">
      <c r="E410">
        <v>385</v>
      </c>
      <c r="F410" s="3">
        <v>566.10385754275717</v>
      </c>
      <c r="G410" s="4">
        <v>0.25457823007394476</v>
      </c>
    </row>
    <row r="411" spans="5:7" x14ac:dyDescent="0.35">
      <c r="E411">
        <v>386</v>
      </c>
      <c r="F411" s="3">
        <v>278.74306669424482</v>
      </c>
      <c r="G411" s="4">
        <v>0.18130193738235278</v>
      </c>
    </row>
    <row r="412" spans="5:7" x14ac:dyDescent="0.35">
      <c r="E412">
        <v>387</v>
      </c>
      <c r="F412" s="3">
        <v>455.13710230786023</v>
      </c>
      <c r="G412" s="4">
        <v>0.21955322528224519</v>
      </c>
    </row>
    <row r="413" spans="5:7" x14ac:dyDescent="0.35">
      <c r="E413">
        <v>388</v>
      </c>
      <c r="F413" s="3">
        <v>253.28744227138316</v>
      </c>
      <c r="G413" s="4">
        <v>0.17207737835155634</v>
      </c>
    </row>
    <row r="414" spans="5:7" x14ac:dyDescent="0.35">
      <c r="E414">
        <v>389</v>
      </c>
      <c r="F414" s="3">
        <v>507.98403799638891</v>
      </c>
      <c r="G414" s="4">
        <v>0.25727948373276721</v>
      </c>
    </row>
    <row r="415" spans="5:7" x14ac:dyDescent="0.35">
      <c r="E415">
        <v>390</v>
      </c>
      <c r="F415" s="3">
        <v>484.76718774480764</v>
      </c>
      <c r="G415" s="4">
        <v>0.22292729536278166</v>
      </c>
    </row>
    <row r="416" spans="5:7" x14ac:dyDescent="0.35">
      <c r="E416">
        <v>391</v>
      </c>
      <c r="F416" s="3">
        <v>580.04586406648968</v>
      </c>
      <c r="G416" s="4">
        <v>0.26085845943749164</v>
      </c>
    </row>
    <row r="417" spans="5:7" x14ac:dyDescent="0.35">
      <c r="E417">
        <v>392</v>
      </c>
      <c r="F417" s="3">
        <v>259.21604246006018</v>
      </c>
      <c r="G417" s="4">
        <v>0.17175524947980092</v>
      </c>
    </row>
    <row r="418" spans="5:7" x14ac:dyDescent="0.35">
      <c r="E418">
        <v>393</v>
      </c>
      <c r="F418" s="3">
        <v>465.24343666845789</v>
      </c>
      <c r="G418" s="4">
        <v>0.22887481623445938</v>
      </c>
    </row>
    <row r="419" spans="5:7" x14ac:dyDescent="0.35">
      <c r="E419">
        <v>394</v>
      </c>
      <c r="F419" s="3">
        <v>380.4773848770817</v>
      </c>
      <c r="G419" s="4">
        <v>0.20529112022865648</v>
      </c>
    </row>
    <row r="420" spans="5:7" x14ac:dyDescent="0.35">
      <c r="E420">
        <v>395</v>
      </c>
      <c r="F420" s="3">
        <v>529.62591961768067</v>
      </c>
      <c r="G420" s="4">
        <v>0.25321986979323907</v>
      </c>
    </row>
    <row r="421" spans="5:7" x14ac:dyDescent="0.35">
      <c r="E421">
        <v>396</v>
      </c>
      <c r="F421" s="3">
        <v>585.36468007942881</v>
      </c>
      <c r="G421" s="4">
        <v>0.25909709476791631</v>
      </c>
    </row>
    <row r="422" spans="5:7" x14ac:dyDescent="0.35">
      <c r="E422">
        <v>397</v>
      </c>
      <c r="F422" s="3">
        <v>549.14423884007965</v>
      </c>
      <c r="G422" s="4">
        <v>0.24705501144528763</v>
      </c>
    </row>
    <row r="423" spans="5:7" x14ac:dyDescent="0.35">
      <c r="E423">
        <v>398</v>
      </c>
      <c r="F423" s="3">
        <v>470.37041400460362</v>
      </c>
      <c r="G423" s="4">
        <v>0.23361484726814608</v>
      </c>
    </row>
    <row r="424" spans="5:7" x14ac:dyDescent="0.35">
      <c r="E424">
        <v>399</v>
      </c>
      <c r="F424" s="3">
        <v>251.93689761531266</v>
      </c>
      <c r="G424" s="4">
        <v>0.17381270175534813</v>
      </c>
    </row>
    <row r="425" spans="5:7" x14ac:dyDescent="0.35">
      <c r="E425">
        <v>400</v>
      </c>
      <c r="F425" s="3">
        <v>490.69865756280933</v>
      </c>
      <c r="G425" s="4">
        <v>0.23397916069482805</v>
      </c>
    </row>
    <row r="426" spans="5:7" x14ac:dyDescent="0.35">
      <c r="E426">
        <v>401</v>
      </c>
      <c r="F426" s="3">
        <v>469.8413375684986</v>
      </c>
      <c r="G426" s="4">
        <v>0.2231555318049363</v>
      </c>
    </row>
    <row r="427" spans="5:7" x14ac:dyDescent="0.35">
      <c r="E427">
        <v>402</v>
      </c>
      <c r="F427" s="3">
        <v>541.91426502367676</v>
      </c>
      <c r="G427" s="4">
        <v>0.27985106149341155</v>
      </c>
    </row>
    <row r="428" spans="5:7" x14ac:dyDescent="0.35">
      <c r="E428">
        <v>403</v>
      </c>
      <c r="F428" s="3">
        <v>383.07965058626314</v>
      </c>
      <c r="G428" s="4">
        <v>0.20965323504101496</v>
      </c>
    </row>
    <row r="429" spans="5:7" x14ac:dyDescent="0.35">
      <c r="E429">
        <v>404</v>
      </c>
      <c r="F429" s="3">
        <v>365.03449000770433</v>
      </c>
      <c r="G429" s="4">
        <v>0.20169459563190584</v>
      </c>
    </row>
    <row r="430" spans="5:7" x14ac:dyDescent="0.35">
      <c r="E430">
        <v>405</v>
      </c>
      <c r="F430" s="3">
        <v>297.4609604519701</v>
      </c>
      <c r="G430" s="4">
        <v>0.18465408505931924</v>
      </c>
    </row>
    <row r="431" spans="5:7" x14ac:dyDescent="0.35">
      <c r="E431">
        <v>406</v>
      </c>
      <c r="F431" s="3">
        <v>490.70695957825387</v>
      </c>
      <c r="G431" s="4">
        <v>0.22664990603142665</v>
      </c>
    </row>
    <row r="432" spans="5:7" x14ac:dyDescent="0.35">
      <c r="E432">
        <v>407</v>
      </c>
      <c r="F432" s="3">
        <v>525.13116789748551</v>
      </c>
      <c r="G432" s="4">
        <v>0.27055987096457002</v>
      </c>
    </row>
    <row r="433" spans="5:7" x14ac:dyDescent="0.35">
      <c r="E433">
        <v>408</v>
      </c>
      <c r="F433" s="3">
        <v>389.06400154138146</v>
      </c>
      <c r="G433" s="4">
        <v>0.20828746841175882</v>
      </c>
    </row>
    <row r="434" spans="5:7" x14ac:dyDescent="0.35">
      <c r="E434">
        <v>409</v>
      </c>
      <c r="F434" s="3">
        <v>405.85327126686025</v>
      </c>
      <c r="G434" s="4">
        <v>0.21885411874768668</v>
      </c>
    </row>
    <row r="435" spans="5:7" x14ac:dyDescent="0.35">
      <c r="E435">
        <v>410</v>
      </c>
      <c r="F435" s="3">
        <v>470.47634804173276</v>
      </c>
      <c r="G435" s="4">
        <v>0.23137546855393043</v>
      </c>
    </row>
    <row r="436" spans="5:7" x14ac:dyDescent="0.35">
      <c r="E436">
        <v>411</v>
      </c>
      <c r="F436" s="3">
        <v>570.02712974936571</v>
      </c>
      <c r="G436" s="4">
        <v>0.25151133141306437</v>
      </c>
    </row>
    <row r="437" spans="5:7" x14ac:dyDescent="0.35">
      <c r="E437">
        <v>412</v>
      </c>
      <c r="F437" s="3">
        <v>356.3071550731313</v>
      </c>
      <c r="G437" s="4">
        <v>0.20486360789071889</v>
      </c>
    </row>
    <row r="438" spans="5:7" x14ac:dyDescent="0.35">
      <c r="E438">
        <v>413</v>
      </c>
      <c r="F438" s="3">
        <v>578.59660946018653</v>
      </c>
      <c r="G438" s="4">
        <v>0.26750946495161831</v>
      </c>
    </row>
    <row r="439" spans="5:7" x14ac:dyDescent="0.35">
      <c r="E439">
        <v>414</v>
      </c>
      <c r="F439" s="3">
        <v>365.94519359797209</v>
      </c>
      <c r="G439" s="4">
        <v>0.19967505745292669</v>
      </c>
    </row>
    <row r="440" spans="5:7" x14ac:dyDescent="0.35">
      <c r="E440">
        <v>415</v>
      </c>
      <c r="F440" s="3">
        <v>467.20051541771772</v>
      </c>
      <c r="G440" s="4">
        <v>0.23969157852761769</v>
      </c>
    </row>
    <row r="441" spans="5:7" x14ac:dyDescent="0.35">
      <c r="E441">
        <v>416</v>
      </c>
      <c r="F441" s="3">
        <v>368.33966113724023</v>
      </c>
      <c r="G441" s="4">
        <v>0.20373352849440485</v>
      </c>
    </row>
    <row r="442" spans="5:7" x14ac:dyDescent="0.35">
      <c r="E442">
        <v>417</v>
      </c>
      <c r="F442" s="3">
        <v>455.98986509099313</v>
      </c>
      <c r="G442" s="4">
        <v>0.2238357952647938</v>
      </c>
    </row>
    <row r="443" spans="5:7" x14ac:dyDescent="0.35">
      <c r="E443">
        <v>418</v>
      </c>
      <c r="F443" s="3">
        <v>478.92967027809573</v>
      </c>
      <c r="G443" s="4">
        <v>0.23756258898386284</v>
      </c>
    </row>
    <row r="444" spans="5:7" x14ac:dyDescent="0.35">
      <c r="E444">
        <v>419</v>
      </c>
      <c r="F444" s="3">
        <v>592.21786225398819</v>
      </c>
      <c r="G444" s="4">
        <v>0.26565071894120273</v>
      </c>
    </row>
    <row r="445" spans="5:7" x14ac:dyDescent="0.35">
      <c r="E445">
        <v>420</v>
      </c>
      <c r="F445" s="3">
        <v>495.19368011347296</v>
      </c>
      <c r="G445" s="4">
        <v>0.23864893797525721</v>
      </c>
    </row>
    <row r="446" spans="5:7" x14ac:dyDescent="0.35">
      <c r="E446">
        <v>421</v>
      </c>
      <c r="F446" s="3">
        <v>310.7513853786304</v>
      </c>
      <c r="G446" s="4">
        <v>0.18185997673016407</v>
      </c>
    </row>
    <row r="447" spans="5:7" x14ac:dyDescent="0.35">
      <c r="E447">
        <v>422</v>
      </c>
      <c r="F447" s="3">
        <v>297.22582023287123</v>
      </c>
      <c r="G447" s="4">
        <v>0.18200325499364522</v>
      </c>
    </row>
    <row r="448" spans="5:7" x14ac:dyDescent="0.35">
      <c r="E448">
        <v>423</v>
      </c>
      <c r="F448" s="3">
        <v>537.522568982449</v>
      </c>
      <c r="G448" s="4">
        <v>0.26113656971689969</v>
      </c>
    </row>
    <row r="449" spans="5:7" x14ac:dyDescent="0.35">
      <c r="E449">
        <v>424</v>
      </c>
      <c r="F449" s="3">
        <v>282.196246916468</v>
      </c>
      <c r="G449" s="4">
        <v>0.18078792890549389</v>
      </c>
    </row>
    <row r="450" spans="5:7" x14ac:dyDescent="0.35">
      <c r="E450">
        <v>425</v>
      </c>
      <c r="F450" s="3">
        <v>386.61137129533813</v>
      </c>
      <c r="G450" s="4">
        <v>0.20361290051070302</v>
      </c>
    </row>
    <row r="451" spans="5:7" x14ac:dyDescent="0.35">
      <c r="E451">
        <v>426</v>
      </c>
      <c r="F451" s="3">
        <v>355.23650349113359</v>
      </c>
      <c r="G451" s="4">
        <v>0.19560049109884048</v>
      </c>
    </row>
    <row r="452" spans="5:7" x14ac:dyDescent="0.35">
      <c r="E452">
        <v>427</v>
      </c>
      <c r="F452" s="3">
        <v>440.66382688445924</v>
      </c>
      <c r="G452" s="4">
        <v>0.23404080337417188</v>
      </c>
    </row>
    <row r="453" spans="5:7" x14ac:dyDescent="0.35">
      <c r="E453">
        <v>428</v>
      </c>
      <c r="F453" s="3">
        <v>451.45949270605365</v>
      </c>
      <c r="G453" s="4">
        <v>0.22040325019324269</v>
      </c>
    </row>
    <row r="454" spans="5:7" x14ac:dyDescent="0.35">
      <c r="E454">
        <v>429</v>
      </c>
      <c r="F454" s="3">
        <v>550.3114965975019</v>
      </c>
      <c r="G454" s="4">
        <v>0.24129874050000844</v>
      </c>
    </row>
    <row r="455" spans="5:7" x14ac:dyDescent="0.35">
      <c r="E455">
        <v>430</v>
      </c>
      <c r="F455" s="3">
        <v>487.14582678739953</v>
      </c>
      <c r="G455" s="4">
        <v>0.21874361442015622</v>
      </c>
    </row>
    <row r="456" spans="5:7" x14ac:dyDescent="0.35">
      <c r="E456">
        <v>431</v>
      </c>
      <c r="F456" s="3">
        <v>333.92025812356474</v>
      </c>
      <c r="G456" s="4">
        <v>0.18936959340992998</v>
      </c>
    </row>
    <row r="457" spans="5:7" x14ac:dyDescent="0.35">
      <c r="E457">
        <v>432</v>
      </c>
      <c r="F457" s="3">
        <v>415.07117114494213</v>
      </c>
      <c r="G457" s="4">
        <v>0.21321825057896104</v>
      </c>
    </row>
    <row r="458" spans="5:7" x14ac:dyDescent="0.35">
      <c r="E458">
        <v>433</v>
      </c>
      <c r="F458" s="3">
        <v>532.93920134387758</v>
      </c>
      <c r="G458" s="4">
        <v>0.24534566796980162</v>
      </c>
    </row>
    <row r="459" spans="5:7" x14ac:dyDescent="0.35">
      <c r="E459">
        <v>434</v>
      </c>
      <c r="F459" s="3">
        <v>370.95759882515949</v>
      </c>
      <c r="G459" s="4">
        <v>0.20720710913482088</v>
      </c>
    </row>
    <row r="460" spans="5:7" x14ac:dyDescent="0.35">
      <c r="E460">
        <v>435</v>
      </c>
      <c r="F460" s="3">
        <v>289.7686216051095</v>
      </c>
      <c r="G460" s="4">
        <v>0.18268212856026556</v>
      </c>
    </row>
    <row r="461" spans="5:7" x14ac:dyDescent="0.35">
      <c r="E461">
        <v>436</v>
      </c>
      <c r="F461" s="3">
        <v>458.91441636811737</v>
      </c>
      <c r="G461" s="4">
        <v>0.23459569936139646</v>
      </c>
    </row>
    <row r="462" spans="5:7" x14ac:dyDescent="0.35">
      <c r="E462">
        <v>437</v>
      </c>
      <c r="F462" s="3">
        <v>364.2330185238493</v>
      </c>
      <c r="G462" s="4">
        <v>0.202639682079085</v>
      </c>
    </row>
    <row r="463" spans="5:7" x14ac:dyDescent="0.35">
      <c r="E463">
        <v>438</v>
      </c>
      <c r="F463" s="3">
        <v>361.90459610116159</v>
      </c>
      <c r="G463" s="4">
        <v>0.20916129079211143</v>
      </c>
    </row>
    <row r="464" spans="5:7" x14ac:dyDescent="0.35">
      <c r="E464">
        <v>439</v>
      </c>
      <c r="F464" s="3">
        <v>452.37092591105215</v>
      </c>
      <c r="G464" s="4">
        <v>0.23161985983847644</v>
      </c>
    </row>
    <row r="465" spans="5:7" x14ac:dyDescent="0.35">
      <c r="E465">
        <v>440</v>
      </c>
      <c r="F465" s="3">
        <v>482.74657080005045</v>
      </c>
      <c r="G465" s="4">
        <v>0.23098726444447171</v>
      </c>
    </row>
    <row r="466" spans="5:7" x14ac:dyDescent="0.35">
      <c r="E466">
        <v>441</v>
      </c>
      <c r="F466" s="3">
        <v>277.23250818730776</v>
      </c>
      <c r="G466" s="4">
        <v>0.18168867311382431</v>
      </c>
    </row>
    <row r="467" spans="5:7" x14ac:dyDescent="0.35">
      <c r="E467">
        <v>442</v>
      </c>
      <c r="F467" s="3">
        <v>393.59148605021755</v>
      </c>
      <c r="G467" s="4">
        <v>0.20260218389954399</v>
      </c>
    </row>
    <row r="468" spans="5:7" x14ac:dyDescent="0.35">
      <c r="E468">
        <v>443</v>
      </c>
      <c r="F468" s="3">
        <v>514.73508429740605</v>
      </c>
      <c r="G468" s="4">
        <v>0.26281091358497743</v>
      </c>
    </row>
    <row r="469" spans="5:7" x14ac:dyDescent="0.35">
      <c r="E469">
        <v>444</v>
      </c>
      <c r="F469" s="3">
        <v>383.92449223702874</v>
      </c>
      <c r="G469" s="4">
        <v>0.20544634252023264</v>
      </c>
    </row>
    <row r="470" spans="5:7" x14ac:dyDescent="0.35">
      <c r="E470">
        <v>445</v>
      </c>
      <c r="F470" s="3">
        <v>438.28685487744542</v>
      </c>
      <c r="G470" s="4">
        <v>0.22814503687863907</v>
      </c>
    </row>
    <row r="471" spans="5:7" x14ac:dyDescent="0.35">
      <c r="E471">
        <v>446</v>
      </c>
      <c r="F471" s="3">
        <v>475.13978089624038</v>
      </c>
      <c r="G471" s="4">
        <v>0.23181907211086483</v>
      </c>
    </row>
    <row r="472" spans="5:7" x14ac:dyDescent="0.35">
      <c r="E472">
        <v>447</v>
      </c>
      <c r="F472" s="3">
        <v>426.21871456506346</v>
      </c>
      <c r="G472" s="4">
        <v>0.22241377410070329</v>
      </c>
    </row>
    <row r="473" spans="5:7" x14ac:dyDescent="0.35">
      <c r="E473">
        <v>448</v>
      </c>
      <c r="F473" s="3">
        <v>363.54434972172089</v>
      </c>
      <c r="G473" s="4">
        <v>0.20640277688602127</v>
      </c>
    </row>
    <row r="474" spans="5:7" x14ac:dyDescent="0.35">
      <c r="E474">
        <v>449</v>
      </c>
      <c r="F474" s="3">
        <v>368.61087486728024</v>
      </c>
      <c r="G474" s="4">
        <v>0.19992011651539299</v>
      </c>
    </row>
    <row r="475" spans="5:7" x14ac:dyDescent="0.35">
      <c r="E475">
        <v>450</v>
      </c>
      <c r="F475" s="3">
        <v>484.63404631690582</v>
      </c>
      <c r="G475" s="4">
        <v>0.24549278367179439</v>
      </c>
    </row>
    <row r="476" spans="5:7" x14ac:dyDescent="0.35">
      <c r="E476">
        <v>451</v>
      </c>
      <c r="F476" s="3">
        <v>432.01746551208339</v>
      </c>
      <c r="G476" s="4">
        <v>0.23083232820386956</v>
      </c>
    </row>
    <row r="477" spans="5:7" x14ac:dyDescent="0.35">
      <c r="E477">
        <v>452</v>
      </c>
      <c r="F477" s="3">
        <v>474.17377360590876</v>
      </c>
      <c r="G477" s="4">
        <v>0.21940461491456364</v>
      </c>
    </row>
    <row r="478" spans="5:7" x14ac:dyDescent="0.35">
      <c r="E478">
        <v>453</v>
      </c>
      <c r="F478" s="3">
        <v>573.66749258092023</v>
      </c>
      <c r="G478" s="4">
        <v>0.25072395892442834</v>
      </c>
    </row>
    <row r="479" spans="5:7" x14ac:dyDescent="0.35">
      <c r="E479">
        <v>454</v>
      </c>
      <c r="F479" s="3">
        <v>555.99513988561193</v>
      </c>
      <c r="G479" s="4">
        <v>0.25245176313997497</v>
      </c>
    </row>
    <row r="480" spans="5:7" x14ac:dyDescent="0.35">
      <c r="E480">
        <v>455</v>
      </c>
      <c r="F480" s="3">
        <v>427.57527292777559</v>
      </c>
      <c r="G480" s="4">
        <v>0.21815393815661777</v>
      </c>
    </row>
    <row r="481" spans="5:7" x14ac:dyDescent="0.35">
      <c r="E481">
        <v>456</v>
      </c>
      <c r="F481" s="3">
        <v>412.52345766079316</v>
      </c>
      <c r="G481" s="4">
        <v>0.21861790304016093</v>
      </c>
    </row>
    <row r="482" spans="5:7" x14ac:dyDescent="0.35">
      <c r="E482">
        <v>457</v>
      </c>
      <c r="F482" s="3">
        <v>446.78249458343157</v>
      </c>
      <c r="G482" s="4">
        <v>0.22971029018372269</v>
      </c>
    </row>
    <row r="483" spans="5:7" x14ac:dyDescent="0.35">
      <c r="E483">
        <v>458</v>
      </c>
      <c r="F483" s="3">
        <v>564.07003359771488</v>
      </c>
      <c r="G483" s="4">
        <v>0.25342825562625104</v>
      </c>
    </row>
    <row r="484" spans="5:7" x14ac:dyDescent="0.35">
      <c r="E484">
        <v>459</v>
      </c>
      <c r="F484" s="3">
        <v>416.48102239074387</v>
      </c>
      <c r="G484" s="4">
        <v>0.21829965361435621</v>
      </c>
    </row>
    <row r="485" spans="5:7" x14ac:dyDescent="0.35">
      <c r="E485">
        <v>460</v>
      </c>
      <c r="F485" s="3">
        <v>368.31701787865359</v>
      </c>
      <c r="G485" s="4">
        <v>0.19781066010380544</v>
      </c>
    </row>
    <row r="486" spans="5:7" x14ac:dyDescent="0.35">
      <c r="E486">
        <v>461</v>
      </c>
      <c r="F486" s="3">
        <v>593.90890869737427</v>
      </c>
      <c r="G486" s="4">
        <v>0.25711567954755132</v>
      </c>
    </row>
    <row r="487" spans="5:7" x14ac:dyDescent="0.35">
      <c r="E487">
        <v>462</v>
      </c>
      <c r="F487" s="3">
        <v>428.53207888263682</v>
      </c>
      <c r="G487" s="4">
        <v>0.21903723370068517</v>
      </c>
    </row>
    <row r="488" spans="5:7" x14ac:dyDescent="0.35">
      <c r="E488">
        <v>463</v>
      </c>
      <c r="F488" s="3">
        <v>560.4553519466815</v>
      </c>
      <c r="G488" s="4">
        <v>0.25906162358629814</v>
      </c>
    </row>
    <row r="489" spans="5:7" x14ac:dyDescent="0.35">
      <c r="E489">
        <v>464</v>
      </c>
      <c r="F489" s="3">
        <v>308.40919209787126</v>
      </c>
      <c r="G489" s="4">
        <v>0.18455054671106863</v>
      </c>
    </row>
    <row r="490" spans="5:7" x14ac:dyDescent="0.35">
      <c r="E490">
        <v>465</v>
      </c>
      <c r="F490" s="3">
        <v>437.22946189196364</v>
      </c>
      <c r="G490" s="4">
        <v>0.21417788089010359</v>
      </c>
    </row>
    <row r="491" spans="5:7" x14ac:dyDescent="0.35">
      <c r="E491">
        <v>466</v>
      </c>
      <c r="F491" s="3">
        <v>369.42670363458478</v>
      </c>
      <c r="G491" s="4">
        <v>0.19371887415035682</v>
      </c>
    </row>
    <row r="492" spans="5:7" x14ac:dyDescent="0.35">
      <c r="E492">
        <v>467</v>
      </c>
      <c r="F492" s="3">
        <v>508.58411917080298</v>
      </c>
      <c r="G492" s="4">
        <v>0.25193486677040133</v>
      </c>
    </row>
    <row r="493" spans="5:7" x14ac:dyDescent="0.35">
      <c r="E493">
        <v>468</v>
      </c>
      <c r="F493" s="3">
        <v>395.06028112888362</v>
      </c>
      <c r="G493" s="4">
        <v>0.20727707094095171</v>
      </c>
    </row>
    <row r="494" spans="5:7" x14ac:dyDescent="0.35">
      <c r="E494">
        <v>469</v>
      </c>
      <c r="F494" s="3">
        <v>508.05895385992926</v>
      </c>
      <c r="G494" s="4">
        <v>0.23893885978767293</v>
      </c>
    </row>
    <row r="495" spans="5:7" x14ac:dyDescent="0.35">
      <c r="E495">
        <v>470</v>
      </c>
      <c r="F495" s="3">
        <v>384.73079465941987</v>
      </c>
      <c r="G495" s="4">
        <v>0.20106749474409225</v>
      </c>
    </row>
    <row r="496" spans="5:7" x14ac:dyDescent="0.35">
      <c r="E496">
        <v>471</v>
      </c>
      <c r="F496" s="3">
        <v>383.9862151486027</v>
      </c>
      <c r="G496" s="4">
        <v>0.20393417471058184</v>
      </c>
    </row>
    <row r="497" spans="5:7" x14ac:dyDescent="0.35">
      <c r="E497">
        <v>472</v>
      </c>
      <c r="F497" s="3">
        <v>287.46948941878441</v>
      </c>
      <c r="G497" s="4">
        <v>0.1819346027716271</v>
      </c>
    </row>
    <row r="498" spans="5:7" x14ac:dyDescent="0.35">
      <c r="E498">
        <v>473</v>
      </c>
      <c r="F498" s="3">
        <v>440.16903310309908</v>
      </c>
      <c r="G498" s="4">
        <v>0.21728112434012203</v>
      </c>
    </row>
    <row r="499" spans="5:7" x14ac:dyDescent="0.35">
      <c r="E499">
        <v>474</v>
      </c>
      <c r="F499" s="3">
        <v>480.49908473150708</v>
      </c>
      <c r="G499" s="4">
        <v>0.23230318174550213</v>
      </c>
    </row>
    <row r="500" spans="5:7" x14ac:dyDescent="0.35">
      <c r="E500">
        <v>475</v>
      </c>
      <c r="F500" s="3">
        <v>521.3176875205429</v>
      </c>
      <c r="G500" s="4">
        <v>0.24562440123804841</v>
      </c>
    </row>
    <row r="501" spans="5:7" x14ac:dyDescent="0.35">
      <c r="E501">
        <v>476</v>
      </c>
      <c r="F501" s="3">
        <v>257.64901036622621</v>
      </c>
      <c r="G501" s="4">
        <v>0.17091891260415726</v>
      </c>
    </row>
    <row r="502" spans="5:7" x14ac:dyDescent="0.35">
      <c r="E502">
        <v>477</v>
      </c>
      <c r="F502" s="3">
        <v>551.29347575287238</v>
      </c>
      <c r="G502" s="4">
        <v>0.26110814587472042</v>
      </c>
    </row>
    <row r="503" spans="5:7" x14ac:dyDescent="0.35">
      <c r="E503">
        <v>478</v>
      </c>
      <c r="F503" s="3">
        <v>426.54903781390544</v>
      </c>
      <c r="G503" s="4">
        <v>0.21417740570356569</v>
      </c>
    </row>
    <row r="504" spans="5:7" x14ac:dyDescent="0.35">
      <c r="E504">
        <v>479</v>
      </c>
      <c r="F504" s="3">
        <v>577.66262263924136</v>
      </c>
      <c r="G504" s="4">
        <v>0.26099621727806177</v>
      </c>
    </row>
    <row r="505" spans="5:7" x14ac:dyDescent="0.35">
      <c r="E505">
        <v>480</v>
      </c>
      <c r="F505" s="3">
        <v>377.27329247241482</v>
      </c>
      <c r="G505" s="4">
        <v>0.20741077344137548</v>
      </c>
    </row>
    <row r="506" spans="5:7" x14ac:dyDescent="0.35">
      <c r="E506">
        <v>481</v>
      </c>
      <c r="F506" s="3">
        <v>508.54737740957944</v>
      </c>
      <c r="G506" s="4">
        <v>0.25394890279510629</v>
      </c>
    </row>
    <row r="507" spans="5:7" x14ac:dyDescent="0.35">
      <c r="E507">
        <v>482</v>
      </c>
      <c r="F507" s="3">
        <v>329.90344813344359</v>
      </c>
      <c r="G507" s="4">
        <v>0.18729615956657075</v>
      </c>
    </row>
    <row r="508" spans="5:7" x14ac:dyDescent="0.35">
      <c r="E508">
        <v>483</v>
      </c>
      <c r="F508" s="3">
        <v>571.55327911985978</v>
      </c>
      <c r="G508" s="4">
        <v>0.26716192475148826</v>
      </c>
    </row>
    <row r="509" spans="5:7" x14ac:dyDescent="0.35">
      <c r="E509">
        <v>484</v>
      </c>
      <c r="F509" s="3">
        <v>337.1343311459807</v>
      </c>
      <c r="G509" s="4">
        <v>0.19733442990024619</v>
      </c>
    </row>
    <row r="510" spans="5:7" x14ac:dyDescent="0.35">
      <c r="E510">
        <v>485</v>
      </c>
      <c r="F510" s="3">
        <v>443.378343216762</v>
      </c>
      <c r="G510" s="4">
        <v>0.22990271570877141</v>
      </c>
    </row>
    <row r="511" spans="5:7" x14ac:dyDescent="0.35">
      <c r="E511">
        <v>486</v>
      </c>
      <c r="F511" s="3">
        <v>409.22926227617904</v>
      </c>
      <c r="G511" s="4">
        <v>0.20676861062605356</v>
      </c>
    </row>
    <row r="512" spans="5:7" x14ac:dyDescent="0.35">
      <c r="E512">
        <v>487</v>
      </c>
      <c r="F512" s="3">
        <v>337.32417254749248</v>
      </c>
      <c r="G512" s="4">
        <v>0.18684053890067287</v>
      </c>
    </row>
    <row r="513" spans="5:7" x14ac:dyDescent="0.35">
      <c r="E513">
        <v>488</v>
      </c>
      <c r="F513" s="3">
        <v>310.022584514443</v>
      </c>
      <c r="G513" s="4">
        <v>0.1785782705777037</v>
      </c>
    </row>
    <row r="514" spans="5:7" x14ac:dyDescent="0.35">
      <c r="E514">
        <v>489</v>
      </c>
      <c r="F514" s="3">
        <v>434.12146163222837</v>
      </c>
      <c r="G514" s="4">
        <v>0.23204680569051517</v>
      </c>
    </row>
    <row r="515" spans="5:7" x14ac:dyDescent="0.35">
      <c r="E515">
        <v>490</v>
      </c>
      <c r="F515" s="3">
        <v>293.99775064150208</v>
      </c>
      <c r="G515" s="4">
        <v>0.17627069046982258</v>
      </c>
    </row>
    <row r="516" spans="5:7" x14ac:dyDescent="0.35">
      <c r="E516">
        <v>491</v>
      </c>
      <c r="F516" s="3">
        <v>409.22028555627958</v>
      </c>
      <c r="G516" s="4">
        <v>0.22520183666451854</v>
      </c>
    </row>
    <row r="517" spans="5:7" x14ac:dyDescent="0.35">
      <c r="E517">
        <v>492</v>
      </c>
      <c r="F517" s="3">
        <v>273.18775665935937</v>
      </c>
      <c r="G517" s="4">
        <v>0.17849094288018774</v>
      </c>
    </row>
    <row r="518" spans="5:7" x14ac:dyDescent="0.35">
      <c r="E518">
        <v>493</v>
      </c>
      <c r="F518" s="3">
        <v>509.72814909933777</v>
      </c>
      <c r="G518" s="4">
        <v>0.22799934572057001</v>
      </c>
    </row>
    <row r="519" spans="5:7" x14ac:dyDescent="0.35">
      <c r="E519">
        <v>494</v>
      </c>
      <c r="F519" s="3">
        <v>266.42675718282658</v>
      </c>
      <c r="G519" s="4">
        <v>0.18016124300332104</v>
      </c>
    </row>
    <row r="520" spans="5:7" x14ac:dyDescent="0.35">
      <c r="E520">
        <v>495</v>
      </c>
      <c r="F520" s="3">
        <v>628.95888578464314</v>
      </c>
      <c r="G520" s="4">
        <v>0.27761845175385913</v>
      </c>
    </row>
    <row r="521" spans="5:7" x14ac:dyDescent="0.35">
      <c r="E521">
        <v>496</v>
      </c>
      <c r="F521" s="3">
        <v>372.88086098656527</v>
      </c>
      <c r="G521" s="4">
        <v>0.21302599987523374</v>
      </c>
    </row>
    <row r="522" spans="5:7" x14ac:dyDescent="0.35">
      <c r="E522">
        <v>497</v>
      </c>
      <c r="F522" s="3">
        <v>369.57847100019012</v>
      </c>
      <c r="G522" s="4">
        <v>0.202762070480349</v>
      </c>
    </row>
    <row r="523" spans="5:7" x14ac:dyDescent="0.35">
      <c r="E523">
        <v>498</v>
      </c>
      <c r="F523" s="3">
        <v>576.42849782247663</v>
      </c>
      <c r="G523" s="4">
        <v>0.26037711830844446</v>
      </c>
    </row>
    <row r="524" spans="5:7" x14ac:dyDescent="0.35">
      <c r="E524">
        <v>499</v>
      </c>
      <c r="F524" s="3">
        <v>398.83380897889151</v>
      </c>
      <c r="G524" s="4">
        <v>0.21401217708133791</v>
      </c>
    </row>
    <row r="525" spans="5:7" x14ac:dyDescent="0.35">
      <c r="E525">
        <v>500</v>
      </c>
      <c r="F525" s="3">
        <v>440.14634145986088</v>
      </c>
      <c r="G525" s="4">
        <v>0.22755857429758786</v>
      </c>
    </row>
    <row r="526" spans="5:7" x14ac:dyDescent="0.35">
      <c r="E526">
        <v>501</v>
      </c>
      <c r="F526" s="3">
        <v>402.27054244755664</v>
      </c>
      <c r="G526" s="4">
        <v>0.2138556982037163</v>
      </c>
    </row>
    <row r="527" spans="5:7" x14ac:dyDescent="0.35">
      <c r="E527">
        <v>502</v>
      </c>
      <c r="F527" s="3">
        <v>440.929602329408</v>
      </c>
      <c r="G527" s="4">
        <v>0.22356130251701223</v>
      </c>
    </row>
    <row r="528" spans="5:7" x14ac:dyDescent="0.35">
      <c r="E528">
        <v>503</v>
      </c>
      <c r="F528" s="3">
        <v>402.04849495897361</v>
      </c>
      <c r="G528" s="4">
        <v>0.21044706047332595</v>
      </c>
    </row>
    <row r="529" spans="5:7" x14ac:dyDescent="0.35">
      <c r="E529">
        <v>504</v>
      </c>
      <c r="F529" s="3">
        <v>537.95500120162319</v>
      </c>
      <c r="G529" s="4">
        <v>0.23676311767746872</v>
      </c>
    </row>
    <row r="530" spans="5:7" x14ac:dyDescent="0.35">
      <c r="E530">
        <v>505</v>
      </c>
      <c r="F530" s="3">
        <v>309.50422100156652</v>
      </c>
      <c r="G530" s="4">
        <v>0.19000678402809235</v>
      </c>
    </row>
    <row r="531" spans="5:7" x14ac:dyDescent="0.35">
      <c r="E531">
        <v>506</v>
      </c>
      <c r="F531" s="3">
        <v>362.7736610793213</v>
      </c>
      <c r="G531" s="4">
        <v>0.19604936049324495</v>
      </c>
    </row>
    <row r="532" spans="5:7" x14ac:dyDescent="0.35">
      <c r="E532">
        <v>507</v>
      </c>
      <c r="F532" s="3">
        <v>448.21711602542268</v>
      </c>
      <c r="G532" s="4">
        <v>0.2230808855851576</v>
      </c>
    </row>
    <row r="533" spans="5:7" x14ac:dyDescent="0.35">
      <c r="E533">
        <v>508</v>
      </c>
      <c r="F533" s="3">
        <v>310.99548535841359</v>
      </c>
      <c r="G533" s="4">
        <v>0.18461630489685055</v>
      </c>
    </row>
    <row r="534" spans="5:7" x14ac:dyDescent="0.35">
      <c r="E534">
        <v>509</v>
      </c>
      <c r="F534" s="3">
        <v>435.05726353956607</v>
      </c>
      <c r="G534" s="4">
        <v>0.23430598832222804</v>
      </c>
    </row>
    <row r="535" spans="5:7" x14ac:dyDescent="0.35">
      <c r="E535">
        <v>510</v>
      </c>
      <c r="F535" s="3">
        <v>531.55079368528141</v>
      </c>
      <c r="G535" s="4">
        <v>0.25596140886318985</v>
      </c>
    </row>
    <row r="536" spans="5:7" x14ac:dyDescent="0.35">
      <c r="E536">
        <v>511</v>
      </c>
      <c r="F536" s="3">
        <v>601.03188855695566</v>
      </c>
      <c r="G536" s="4">
        <v>0.27256530038153981</v>
      </c>
    </row>
    <row r="537" spans="5:7" x14ac:dyDescent="0.35">
      <c r="E537">
        <v>512</v>
      </c>
      <c r="F537" s="3">
        <v>283.52451154811615</v>
      </c>
      <c r="G537" s="4">
        <v>0.18386874664234565</v>
      </c>
    </row>
    <row r="538" spans="5:7" x14ac:dyDescent="0.35">
      <c r="E538">
        <v>513</v>
      </c>
      <c r="F538" s="3">
        <v>526.06784355366699</v>
      </c>
      <c r="G538" s="4">
        <v>0.24595237433960837</v>
      </c>
    </row>
    <row r="539" spans="5:7" x14ac:dyDescent="0.35">
      <c r="E539">
        <v>514</v>
      </c>
      <c r="F539" s="3">
        <v>488.5771926146208</v>
      </c>
      <c r="G539" s="4">
        <v>0.246377533526982</v>
      </c>
    </row>
    <row r="540" spans="5:7" x14ac:dyDescent="0.35">
      <c r="E540">
        <v>515</v>
      </c>
      <c r="F540" s="3">
        <v>341.34859258606889</v>
      </c>
      <c r="G540" s="4">
        <v>0.1944114155151444</v>
      </c>
    </row>
    <row r="541" spans="5:7" x14ac:dyDescent="0.35">
      <c r="E541">
        <v>516</v>
      </c>
      <c r="F541" s="3">
        <v>296.12794102654789</v>
      </c>
      <c r="G541" s="4">
        <v>0.18229812014294389</v>
      </c>
    </row>
    <row r="542" spans="5:7" x14ac:dyDescent="0.35">
      <c r="E542">
        <v>517</v>
      </c>
      <c r="F542" s="3">
        <v>445.03831070085312</v>
      </c>
      <c r="G542" s="4">
        <v>0.22556372849297168</v>
      </c>
    </row>
    <row r="543" spans="5:7" x14ac:dyDescent="0.35">
      <c r="E543">
        <v>518</v>
      </c>
      <c r="F543" s="3">
        <v>316.22863824430169</v>
      </c>
      <c r="G543" s="4">
        <v>0.18986270191855326</v>
      </c>
    </row>
    <row r="544" spans="5:7" x14ac:dyDescent="0.35">
      <c r="E544">
        <v>519</v>
      </c>
      <c r="F544" s="3">
        <v>640.65027528626047</v>
      </c>
      <c r="G544" s="4">
        <v>0.28335546857916594</v>
      </c>
    </row>
    <row r="545" spans="5:7" x14ac:dyDescent="0.35">
      <c r="E545">
        <v>520</v>
      </c>
      <c r="F545" s="3">
        <v>339.66530144385683</v>
      </c>
      <c r="G545" s="4">
        <v>0.19855623905743625</v>
      </c>
    </row>
    <row r="546" spans="5:7" x14ac:dyDescent="0.35">
      <c r="E546">
        <v>521</v>
      </c>
      <c r="F546" s="3">
        <v>423.25568267330709</v>
      </c>
      <c r="G546" s="4">
        <v>0.22210231952562287</v>
      </c>
    </row>
    <row r="547" spans="5:7" x14ac:dyDescent="0.35">
      <c r="E547">
        <v>522</v>
      </c>
      <c r="F547" s="3">
        <v>402.91865472362269</v>
      </c>
      <c r="G547" s="4">
        <v>0.211451704924974</v>
      </c>
    </row>
    <row r="548" spans="5:7" x14ac:dyDescent="0.35">
      <c r="E548">
        <v>523</v>
      </c>
      <c r="F548" s="3">
        <v>466.59573230961655</v>
      </c>
      <c r="G548" s="4">
        <v>0.23628604326114733</v>
      </c>
    </row>
    <row r="549" spans="5:7" x14ac:dyDescent="0.35">
      <c r="E549">
        <v>524</v>
      </c>
      <c r="F549" s="3">
        <v>428.41668451517216</v>
      </c>
      <c r="G549" s="4">
        <v>0.21941700608492498</v>
      </c>
    </row>
    <row r="550" spans="5:7" x14ac:dyDescent="0.35">
      <c r="E550">
        <v>525</v>
      </c>
      <c r="F550" s="3">
        <v>433.23957481738626</v>
      </c>
      <c r="G550" s="4">
        <v>0.2080421224733533</v>
      </c>
    </row>
    <row r="551" spans="5:7" x14ac:dyDescent="0.35">
      <c r="E551">
        <v>526</v>
      </c>
      <c r="F551" s="3">
        <v>526.7567384736883</v>
      </c>
      <c r="G551" s="4">
        <v>0.25126421527474241</v>
      </c>
    </row>
    <row r="552" spans="5:7" x14ac:dyDescent="0.35">
      <c r="E552">
        <v>527</v>
      </c>
      <c r="F552" s="3">
        <v>809.04234100729082</v>
      </c>
      <c r="G552" s="4">
        <v>0.32588884839397236</v>
      </c>
    </row>
    <row r="553" spans="5:7" x14ac:dyDescent="0.35">
      <c r="E553">
        <v>528</v>
      </c>
      <c r="F553" s="3">
        <v>553.54501818843528</v>
      </c>
      <c r="G553" s="4">
        <v>0.24137169143359638</v>
      </c>
    </row>
    <row r="554" spans="5:7" x14ac:dyDescent="0.35">
      <c r="E554">
        <v>529</v>
      </c>
      <c r="F554" s="3">
        <v>464.42175336819287</v>
      </c>
      <c r="G554" s="4">
        <v>0.23821751579789763</v>
      </c>
    </row>
    <row r="555" spans="5:7" x14ac:dyDescent="0.35">
      <c r="E555">
        <v>530</v>
      </c>
      <c r="F555" s="3">
        <v>297.98333704089487</v>
      </c>
      <c r="G555" s="4">
        <v>0.18317293438137083</v>
      </c>
    </row>
    <row r="556" spans="5:7" x14ac:dyDescent="0.35">
      <c r="E556">
        <v>531</v>
      </c>
      <c r="F556" s="3">
        <v>505.48473740435156</v>
      </c>
      <c r="G556" s="4">
        <v>0.23734189355995783</v>
      </c>
    </row>
    <row r="557" spans="5:7" x14ac:dyDescent="0.35">
      <c r="E557">
        <v>532</v>
      </c>
      <c r="F557" s="3">
        <v>444.74409196839451</v>
      </c>
      <c r="G557" s="4">
        <v>0.21511570700180771</v>
      </c>
    </row>
    <row r="558" spans="5:7" x14ac:dyDescent="0.35">
      <c r="E558">
        <v>533</v>
      </c>
      <c r="F558" s="3">
        <v>497.03598501618103</v>
      </c>
      <c r="G558" s="4">
        <v>0.23756966900280418</v>
      </c>
    </row>
    <row r="559" spans="5:7" x14ac:dyDescent="0.35">
      <c r="E559">
        <v>534</v>
      </c>
      <c r="F559" s="3">
        <v>526.92077954466436</v>
      </c>
      <c r="G559" s="4">
        <v>0.26345883957598026</v>
      </c>
    </row>
    <row r="560" spans="5:7" x14ac:dyDescent="0.35">
      <c r="E560">
        <v>535</v>
      </c>
      <c r="F560" s="3">
        <v>409.93603086600388</v>
      </c>
      <c r="G560" s="4">
        <v>0.20930014363151295</v>
      </c>
    </row>
    <row r="561" spans="5:7" x14ac:dyDescent="0.35">
      <c r="E561">
        <v>536</v>
      </c>
      <c r="F561" s="3">
        <v>532.25005669911411</v>
      </c>
      <c r="G561" s="4">
        <v>0.24639379026787567</v>
      </c>
    </row>
    <row r="562" spans="5:7" x14ac:dyDescent="0.35">
      <c r="E562">
        <v>537</v>
      </c>
      <c r="F562" s="3">
        <v>450.77124046734366</v>
      </c>
      <c r="G562" s="4">
        <v>0.22563993940896476</v>
      </c>
    </row>
    <row r="563" spans="5:7" x14ac:dyDescent="0.35">
      <c r="E563">
        <v>538</v>
      </c>
      <c r="F563" s="3">
        <v>324.84457951442027</v>
      </c>
      <c r="G563" s="4">
        <v>0.19009494594677512</v>
      </c>
    </row>
    <row r="564" spans="5:7" x14ac:dyDescent="0.35">
      <c r="E564">
        <v>539</v>
      </c>
      <c r="F564" s="3">
        <v>484.48741914253787</v>
      </c>
      <c r="G564" s="4">
        <v>0.23316437838270199</v>
      </c>
    </row>
    <row r="565" spans="5:7" x14ac:dyDescent="0.35">
      <c r="E565">
        <v>540</v>
      </c>
      <c r="F565" s="3">
        <v>479.83743021465875</v>
      </c>
      <c r="G565" s="4">
        <v>0.2298439068665723</v>
      </c>
    </row>
    <row r="566" spans="5:7" x14ac:dyDescent="0.35">
      <c r="E566">
        <v>541</v>
      </c>
      <c r="F566" s="3">
        <v>332.77226013094992</v>
      </c>
      <c r="G566" s="4">
        <v>0.18952052746356185</v>
      </c>
    </row>
    <row r="567" spans="5:7" x14ac:dyDescent="0.35">
      <c r="E567">
        <v>542</v>
      </c>
      <c r="F567" s="3">
        <v>286.1624932303564</v>
      </c>
      <c r="G567" s="4">
        <v>0.1757782777542185</v>
      </c>
    </row>
    <row r="568" spans="5:7" x14ac:dyDescent="0.35">
      <c r="E568">
        <v>543</v>
      </c>
      <c r="F568" s="3">
        <v>552.07535230754274</v>
      </c>
      <c r="G568" s="4">
        <v>0.24056082014939162</v>
      </c>
    </row>
    <row r="569" spans="5:7" x14ac:dyDescent="0.35">
      <c r="E569">
        <v>544</v>
      </c>
      <c r="F569" s="3">
        <v>328.64051335706813</v>
      </c>
      <c r="G569" s="4">
        <v>0.19417786121064995</v>
      </c>
    </row>
    <row r="570" spans="5:7" x14ac:dyDescent="0.35">
      <c r="E570">
        <v>545</v>
      </c>
      <c r="F570" s="3">
        <v>466.65476248580262</v>
      </c>
      <c r="G570" s="4">
        <v>0.22470788719110857</v>
      </c>
    </row>
    <row r="571" spans="5:7" x14ac:dyDescent="0.35">
      <c r="E571">
        <v>546</v>
      </c>
      <c r="F571" s="3">
        <v>359.02833192944422</v>
      </c>
      <c r="G571" s="4">
        <v>0.19531395502383431</v>
      </c>
    </row>
    <row r="572" spans="5:7" x14ac:dyDescent="0.35">
      <c r="E572">
        <v>547</v>
      </c>
      <c r="F572" s="3">
        <v>450.19713813926774</v>
      </c>
      <c r="G572" s="4">
        <v>0.22067693916176312</v>
      </c>
    </row>
    <row r="573" spans="5:7" x14ac:dyDescent="0.35">
      <c r="E573">
        <v>548</v>
      </c>
      <c r="F573" s="3">
        <v>328.17053235426306</v>
      </c>
      <c r="G573" s="4">
        <v>0.20215803989350412</v>
      </c>
    </row>
    <row r="574" spans="5:7" x14ac:dyDescent="0.35">
      <c r="E574">
        <v>549</v>
      </c>
      <c r="F574" s="3">
        <v>391.79972712225867</v>
      </c>
      <c r="G574" s="4">
        <v>0.22142366301249705</v>
      </c>
    </row>
    <row r="575" spans="5:7" x14ac:dyDescent="0.35">
      <c r="E575">
        <v>550</v>
      </c>
      <c r="F575" s="3">
        <v>604.31516089425918</v>
      </c>
      <c r="G575" s="4">
        <v>0.27846875586898157</v>
      </c>
    </row>
    <row r="576" spans="5:7" x14ac:dyDescent="0.35">
      <c r="E576">
        <v>551</v>
      </c>
      <c r="F576" s="3">
        <v>530.34561083375661</v>
      </c>
      <c r="G576" s="4">
        <v>0.25906856911493259</v>
      </c>
    </row>
    <row r="577" spans="5:7" x14ac:dyDescent="0.35">
      <c r="E577">
        <v>552</v>
      </c>
      <c r="F577" s="3">
        <v>369.59383147872359</v>
      </c>
      <c r="G577" s="4">
        <v>0.20149735131331625</v>
      </c>
    </row>
    <row r="578" spans="5:7" x14ac:dyDescent="0.35">
      <c r="E578">
        <v>553</v>
      </c>
      <c r="F578" s="3">
        <v>418.34889033148534</v>
      </c>
      <c r="G578" s="4">
        <v>0.21576004633303136</v>
      </c>
    </row>
    <row r="579" spans="5:7" x14ac:dyDescent="0.35">
      <c r="E579">
        <v>554</v>
      </c>
      <c r="F579" s="3">
        <v>348.36066888643245</v>
      </c>
      <c r="G579" s="4">
        <v>0.20455829101422296</v>
      </c>
    </row>
    <row r="580" spans="5:7" x14ac:dyDescent="0.35">
      <c r="E580">
        <v>555</v>
      </c>
      <c r="F580" s="3">
        <v>484.75803205742727</v>
      </c>
      <c r="G580" s="4">
        <v>0.22554146059937841</v>
      </c>
    </row>
    <row r="581" spans="5:7" x14ac:dyDescent="0.35">
      <c r="E581">
        <v>556</v>
      </c>
      <c r="F581" s="3">
        <v>484.41557385946089</v>
      </c>
      <c r="G581" s="4">
        <v>0.24458802283732473</v>
      </c>
    </row>
    <row r="582" spans="5:7" x14ac:dyDescent="0.35">
      <c r="E582">
        <v>557</v>
      </c>
      <c r="F582" s="3">
        <v>440.01060158355858</v>
      </c>
      <c r="G582" s="4">
        <v>0.23436709606163331</v>
      </c>
    </row>
    <row r="583" spans="5:7" x14ac:dyDescent="0.35">
      <c r="E583">
        <v>558</v>
      </c>
      <c r="F583" s="3">
        <v>550.15750755481395</v>
      </c>
      <c r="G583" s="4">
        <v>0.24889379896810548</v>
      </c>
    </row>
    <row r="584" spans="5:7" x14ac:dyDescent="0.35">
      <c r="E584">
        <v>559</v>
      </c>
      <c r="F584" s="3">
        <v>330.04278063808511</v>
      </c>
      <c r="G584" s="4">
        <v>0.19058406491605129</v>
      </c>
    </row>
    <row r="585" spans="5:7" x14ac:dyDescent="0.35">
      <c r="E585">
        <v>560</v>
      </c>
      <c r="F585" s="3">
        <v>304.90107515895079</v>
      </c>
      <c r="G585" s="4">
        <v>0.18640443239372662</v>
      </c>
    </row>
    <row r="586" spans="5:7" x14ac:dyDescent="0.35">
      <c r="E586">
        <v>561</v>
      </c>
      <c r="F586" s="3">
        <v>477.4055238759754</v>
      </c>
      <c r="G586" s="4">
        <v>0.22502519106414853</v>
      </c>
    </row>
    <row r="587" spans="5:7" x14ac:dyDescent="0.35">
      <c r="E587">
        <v>562</v>
      </c>
      <c r="F587" s="3">
        <v>516.13737453103863</v>
      </c>
      <c r="G587" s="4">
        <v>0.25020361209485165</v>
      </c>
    </row>
    <row r="588" spans="5:7" x14ac:dyDescent="0.35">
      <c r="E588">
        <v>563</v>
      </c>
      <c r="F588" s="3">
        <v>485.95987089173855</v>
      </c>
      <c r="G588" s="4">
        <v>0.23414337492022419</v>
      </c>
    </row>
    <row r="589" spans="5:7" x14ac:dyDescent="0.35">
      <c r="E589">
        <v>564</v>
      </c>
      <c r="F589" s="3">
        <v>410.77483274567089</v>
      </c>
      <c r="G589" s="4">
        <v>0.20687672022758674</v>
      </c>
    </row>
    <row r="590" spans="5:7" x14ac:dyDescent="0.35">
      <c r="E590">
        <v>565</v>
      </c>
      <c r="F590" s="3">
        <v>552.9141680661553</v>
      </c>
      <c r="G590" s="4">
        <v>0.253061921940402</v>
      </c>
    </row>
    <row r="591" spans="5:7" x14ac:dyDescent="0.35">
      <c r="E591">
        <v>566</v>
      </c>
      <c r="F591" s="3">
        <v>283.32999330992675</v>
      </c>
      <c r="G591" s="4">
        <v>0.18040226892879008</v>
      </c>
    </row>
    <row r="592" spans="5:7" x14ac:dyDescent="0.35">
      <c r="E592">
        <v>567</v>
      </c>
      <c r="F592" s="3">
        <v>316.39524605372753</v>
      </c>
      <c r="G592" s="4">
        <v>0.18947027669173266</v>
      </c>
    </row>
    <row r="593" spans="5:7" x14ac:dyDescent="0.35">
      <c r="E593">
        <v>568</v>
      </c>
      <c r="F593" s="3">
        <v>432.3756998083802</v>
      </c>
      <c r="G593" s="4">
        <v>0.21388449468826365</v>
      </c>
    </row>
    <row r="594" spans="5:7" x14ac:dyDescent="0.35">
      <c r="E594">
        <v>569</v>
      </c>
      <c r="F594" s="3">
        <v>378.99263235751278</v>
      </c>
      <c r="G594" s="4">
        <v>0.20087284837757435</v>
      </c>
    </row>
    <row r="595" spans="5:7" x14ac:dyDescent="0.35">
      <c r="E595">
        <v>570</v>
      </c>
      <c r="F595" s="3">
        <v>561.72821156541045</v>
      </c>
      <c r="G595" s="4">
        <v>0.25115124581034731</v>
      </c>
    </row>
    <row r="596" spans="5:7" x14ac:dyDescent="0.35">
      <c r="E596">
        <v>571</v>
      </c>
      <c r="F596" s="3">
        <v>471.05017559790235</v>
      </c>
      <c r="G596" s="4">
        <v>0.23235421635580655</v>
      </c>
    </row>
    <row r="597" spans="5:7" x14ac:dyDescent="0.35">
      <c r="E597">
        <v>572</v>
      </c>
      <c r="F597" s="3">
        <v>464.59015781094467</v>
      </c>
      <c r="G597" s="4">
        <v>0.22371189127864044</v>
      </c>
    </row>
    <row r="598" spans="5:7" x14ac:dyDescent="0.35">
      <c r="E598">
        <v>573</v>
      </c>
      <c r="F598" s="3">
        <v>527.03875727875311</v>
      </c>
      <c r="G598" s="4">
        <v>0.23392083086334092</v>
      </c>
    </row>
    <row r="599" spans="5:7" x14ac:dyDescent="0.35">
      <c r="E599">
        <v>574</v>
      </c>
      <c r="F599" s="3">
        <v>563.52208523644799</v>
      </c>
      <c r="G599" s="4">
        <v>0.26300039629488059</v>
      </c>
    </row>
    <row r="600" spans="5:7" x14ac:dyDescent="0.35">
      <c r="E600">
        <v>575</v>
      </c>
      <c r="F600" s="3">
        <v>419.30907922468259</v>
      </c>
      <c r="G600" s="4">
        <v>0.22337961938226503</v>
      </c>
    </row>
    <row r="601" spans="5:7" x14ac:dyDescent="0.35">
      <c r="E601">
        <v>576</v>
      </c>
      <c r="F601" s="3">
        <v>449.63868777718676</v>
      </c>
      <c r="G601" s="4">
        <v>0.22816408674420474</v>
      </c>
    </row>
    <row r="602" spans="5:7" x14ac:dyDescent="0.35">
      <c r="E602">
        <v>577</v>
      </c>
      <c r="F602" s="3">
        <v>439.63912766111685</v>
      </c>
      <c r="G602" s="4">
        <v>0.22984045600731307</v>
      </c>
    </row>
    <row r="603" spans="5:7" x14ac:dyDescent="0.35">
      <c r="E603">
        <v>578</v>
      </c>
      <c r="F603" s="3">
        <v>400.6345196775319</v>
      </c>
      <c r="G603" s="4">
        <v>0.20782041300180465</v>
      </c>
    </row>
    <row r="604" spans="5:7" x14ac:dyDescent="0.35">
      <c r="E604">
        <v>579</v>
      </c>
      <c r="F604" s="3">
        <v>471.42418127766882</v>
      </c>
      <c r="G604" s="4">
        <v>0.24037968980842761</v>
      </c>
    </row>
    <row r="605" spans="5:7" x14ac:dyDescent="0.35">
      <c r="E605">
        <v>580</v>
      </c>
      <c r="F605" s="3">
        <v>404.54915201837025</v>
      </c>
      <c r="G605" s="4">
        <v>0.2105154426808693</v>
      </c>
    </row>
    <row r="606" spans="5:7" x14ac:dyDescent="0.35">
      <c r="E606">
        <v>581</v>
      </c>
      <c r="F606" s="3">
        <v>389.24865458927093</v>
      </c>
      <c r="G606" s="4">
        <v>0.21037991509901155</v>
      </c>
    </row>
    <row r="607" spans="5:7" x14ac:dyDescent="0.35">
      <c r="E607">
        <v>582</v>
      </c>
      <c r="F607" s="3">
        <v>339.80544670346058</v>
      </c>
      <c r="G607" s="4">
        <v>0.19867336082179299</v>
      </c>
    </row>
    <row r="608" spans="5:7" x14ac:dyDescent="0.35">
      <c r="E608">
        <v>583</v>
      </c>
      <c r="F608" s="3">
        <v>465.63090816224303</v>
      </c>
      <c r="G608" s="4">
        <v>0.22740599347867763</v>
      </c>
    </row>
    <row r="609" spans="5:7" x14ac:dyDescent="0.35">
      <c r="E609">
        <v>584</v>
      </c>
      <c r="F609" s="3">
        <v>377.854832076511</v>
      </c>
      <c r="G609" s="4">
        <v>0.19904968581034521</v>
      </c>
    </row>
    <row r="610" spans="5:7" x14ac:dyDescent="0.35">
      <c r="E610">
        <v>585</v>
      </c>
      <c r="F610" s="3">
        <v>473.09786994105866</v>
      </c>
      <c r="G610" s="4">
        <v>0.22734210703137592</v>
      </c>
    </row>
    <row r="611" spans="5:7" x14ac:dyDescent="0.35">
      <c r="E611">
        <v>586</v>
      </c>
      <c r="F611" s="3">
        <v>545.74055616340843</v>
      </c>
      <c r="G611" s="4">
        <v>0.25189415482650701</v>
      </c>
    </row>
    <row r="612" spans="5:7" x14ac:dyDescent="0.35">
      <c r="E612">
        <v>587</v>
      </c>
      <c r="F612" s="3">
        <v>318.20747330650397</v>
      </c>
      <c r="G612" s="4">
        <v>0.17889985388049801</v>
      </c>
    </row>
    <row r="613" spans="5:7" x14ac:dyDescent="0.35">
      <c r="E613">
        <v>588</v>
      </c>
      <c r="F613" s="3">
        <v>315.82148291937528</v>
      </c>
      <c r="G613" s="4">
        <v>0.1942893503364671</v>
      </c>
    </row>
    <row r="614" spans="5:7" x14ac:dyDescent="0.35">
      <c r="E614">
        <v>589</v>
      </c>
      <c r="F614" s="3">
        <v>733.37485490132963</v>
      </c>
      <c r="G614" s="4">
        <v>0.30988982721337455</v>
      </c>
    </row>
    <row r="615" spans="5:7" x14ac:dyDescent="0.35">
      <c r="E615">
        <v>590</v>
      </c>
      <c r="F615" s="3">
        <v>471.64002904970471</v>
      </c>
      <c r="G615" s="4">
        <v>0.22274675551072298</v>
      </c>
    </row>
    <row r="616" spans="5:7" x14ac:dyDescent="0.35">
      <c r="E616">
        <v>591</v>
      </c>
      <c r="F616" s="3">
        <v>300.89552272724336</v>
      </c>
      <c r="G616" s="4">
        <v>0.18110697446300295</v>
      </c>
    </row>
    <row r="617" spans="5:7" x14ac:dyDescent="0.35">
      <c r="E617">
        <v>592</v>
      </c>
      <c r="F617" s="3">
        <v>501.81980350756453</v>
      </c>
      <c r="G617" s="4">
        <v>0.22764857700901153</v>
      </c>
    </row>
    <row r="618" spans="5:7" x14ac:dyDescent="0.35">
      <c r="E618">
        <v>593</v>
      </c>
      <c r="F618" s="3">
        <v>232.82435646605973</v>
      </c>
      <c r="G618" s="4">
        <v>0.16657303376677257</v>
      </c>
    </row>
    <row r="619" spans="5:7" x14ac:dyDescent="0.35">
      <c r="E619">
        <v>594</v>
      </c>
      <c r="F619" s="3">
        <v>514.54297085256985</v>
      </c>
      <c r="G619" s="4">
        <v>0.25103968286656086</v>
      </c>
    </row>
    <row r="620" spans="5:7" x14ac:dyDescent="0.35">
      <c r="E620">
        <v>595</v>
      </c>
      <c r="F620" s="3">
        <v>428.16366126351022</v>
      </c>
      <c r="G620" s="4">
        <v>0.21605657328239269</v>
      </c>
    </row>
    <row r="621" spans="5:7" x14ac:dyDescent="0.35">
      <c r="E621">
        <v>596</v>
      </c>
      <c r="F621" s="3">
        <v>408.0171725219293</v>
      </c>
      <c r="G621" s="4">
        <v>0.22112947487052281</v>
      </c>
    </row>
    <row r="622" spans="5:7" x14ac:dyDescent="0.35">
      <c r="E622">
        <v>597</v>
      </c>
      <c r="F622" s="3">
        <v>501.57483313727857</v>
      </c>
      <c r="G622" s="4">
        <v>0.24874459290538264</v>
      </c>
    </row>
    <row r="623" spans="5:7" x14ac:dyDescent="0.35">
      <c r="E623">
        <v>598</v>
      </c>
      <c r="F623" s="3">
        <v>511.49664757340065</v>
      </c>
      <c r="G623" s="4">
        <v>0.25432511868481544</v>
      </c>
    </row>
    <row r="624" spans="5:7" x14ac:dyDescent="0.35">
      <c r="E624">
        <v>599</v>
      </c>
      <c r="F624" s="3">
        <v>567.4467249462225</v>
      </c>
      <c r="G624" s="4">
        <v>0.25281023269661373</v>
      </c>
    </row>
    <row r="625" spans="5:7" x14ac:dyDescent="0.35">
      <c r="E625">
        <v>600</v>
      </c>
      <c r="F625" s="3">
        <v>593.81202298205585</v>
      </c>
      <c r="G625" s="4">
        <v>0.25563932851973736</v>
      </c>
    </row>
    <row r="626" spans="5:7" x14ac:dyDescent="0.35">
      <c r="E626">
        <v>601</v>
      </c>
      <c r="F626" s="3">
        <v>558.8352374236897</v>
      </c>
      <c r="G626" s="4">
        <v>0.25209663304924823</v>
      </c>
    </row>
    <row r="627" spans="5:7" x14ac:dyDescent="0.35">
      <c r="E627">
        <v>602</v>
      </c>
      <c r="F627" s="3">
        <v>631.45391543736832</v>
      </c>
      <c r="G627" s="4">
        <v>0.28377916915836465</v>
      </c>
    </row>
    <row r="628" spans="5:7" x14ac:dyDescent="0.35">
      <c r="E628">
        <v>603</v>
      </c>
      <c r="F628" s="3">
        <v>451.73885832567885</v>
      </c>
      <c r="G628" s="4">
        <v>0.22338892504205887</v>
      </c>
    </row>
    <row r="629" spans="5:7" x14ac:dyDescent="0.35">
      <c r="E629">
        <v>604</v>
      </c>
      <c r="F629" s="3">
        <v>533.46512835897397</v>
      </c>
      <c r="G629" s="4">
        <v>0.24709214309879424</v>
      </c>
    </row>
    <row r="630" spans="5:7" x14ac:dyDescent="0.35">
      <c r="E630">
        <v>605</v>
      </c>
      <c r="F630" s="3">
        <v>416.63423585830969</v>
      </c>
      <c r="G630" s="4">
        <v>0.21258193446473239</v>
      </c>
    </row>
    <row r="631" spans="5:7" x14ac:dyDescent="0.35">
      <c r="E631">
        <v>606</v>
      </c>
      <c r="F631" s="3">
        <v>589.73892940990527</v>
      </c>
      <c r="G631" s="4">
        <v>0.27993794636177904</v>
      </c>
    </row>
    <row r="632" spans="5:7" x14ac:dyDescent="0.35">
      <c r="E632">
        <v>607</v>
      </c>
      <c r="F632" s="3">
        <v>276.84037672129762</v>
      </c>
      <c r="G632" s="4">
        <v>0.17795369283425222</v>
      </c>
    </row>
    <row r="633" spans="5:7" x14ac:dyDescent="0.35">
      <c r="E633">
        <v>608</v>
      </c>
      <c r="F633" s="3">
        <v>284.12522749064556</v>
      </c>
      <c r="G633" s="4">
        <v>0.1890805181668771</v>
      </c>
    </row>
    <row r="634" spans="5:7" x14ac:dyDescent="0.35">
      <c r="E634">
        <v>609</v>
      </c>
      <c r="F634" s="3">
        <v>380.0324803608155</v>
      </c>
      <c r="G634" s="4">
        <v>0.20533331724624437</v>
      </c>
    </row>
    <row r="635" spans="5:7" x14ac:dyDescent="0.35">
      <c r="E635">
        <v>610</v>
      </c>
      <c r="F635" s="3">
        <v>532.20253267964949</v>
      </c>
      <c r="G635" s="4">
        <v>0.23643136752579208</v>
      </c>
    </row>
    <row r="636" spans="5:7" x14ac:dyDescent="0.35">
      <c r="E636">
        <v>611</v>
      </c>
      <c r="F636" s="3">
        <v>434.56684563696263</v>
      </c>
      <c r="G636" s="4">
        <v>0.22911754896875536</v>
      </c>
    </row>
    <row r="637" spans="5:7" x14ac:dyDescent="0.35">
      <c r="E637">
        <v>612</v>
      </c>
      <c r="F637" s="3">
        <v>364.30774935349245</v>
      </c>
      <c r="G637" s="4">
        <v>0.20035420610420096</v>
      </c>
    </row>
    <row r="638" spans="5:7" x14ac:dyDescent="0.35">
      <c r="E638">
        <v>613</v>
      </c>
      <c r="F638" s="3">
        <v>341.54920192667487</v>
      </c>
      <c r="G638" s="4">
        <v>0.19315148967602669</v>
      </c>
    </row>
    <row r="639" spans="5:7" x14ac:dyDescent="0.35">
      <c r="E639">
        <v>614</v>
      </c>
      <c r="F639" s="3">
        <v>393.16272010443708</v>
      </c>
      <c r="G639" s="4">
        <v>0.21924340961366218</v>
      </c>
    </row>
    <row r="640" spans="5:7" x14ac:dyDescent="0.35">
      <c r="E640">
        <v>615</v>
      </c>
      <c r="F640" s="3">
        <v>623.17004775945861</v>
      </c>
      <c r="G640" s="4">
        <v>0.27802716442945541</v>
      </c>
    </row>
    <row r="641" spans="5:7" x14ac:dyDescent="0.35">
      <c r="E641">
        <v>616</v>
      </c>
      <c r="F641" s="3">
        <v>298.21313178940045</v>
      </c>
      <c r="G641" s="4">
        <v>0.18352497789637723</v>
      </c>
    </row>
    <row r="642" spans="5:7" x14ac:dyDescent="0.35">
      <c r="E642">
        <v>617</v>
      </c>
      <c r="F642" s="3">
        <v>379.19131009135481</v>
      </c>
      <c r="G642" s="4">
        <v>0.20128796670823235</v>
      </c>
    </row>
    <row r="643" spans="5:7" x14ac:dyDescent="0.35">
      <c r="E643">
        <v>618</v>
      </c>
      <c r="F643" s="3">
        <v>421.95988874349268</v>
      </c>
      <c r="G643" s="4">
        <v>0.2150953859881739</v>
      </c>
    </row>
    <row r="644" spans="5:7" x14ac:dyDescent="0.35">
      <c r="E644">
        <v>619</v>
      </c>
      <c r="F644" s="3">
        <v>366.85357724210462</v>
      </c>
      <c r="G644" s="4">
        <v>0.19507727880628889</v>
      </c>
    </row>
    <row r="645" spans="5:7" x14ac:dyDescent="0.35">
      <c r="E645">
        <v>620</v>
      </c>
      <c r="F645" s="3">
        <v>475.50748067109726</v>
      </c>
      <c r="G645" s="4">
        <v>0.24016597360633241</v>
      </c>
    </row>
    <row r="646" spans="5:7" x14ac:dyDescent="0.35">
      <c r="E646">
        <v>621</v>
      </c>
      <c r="F646" s="3">
        <v>360.3681529572134</v>
      </c>
      <c r="G646" s="4">
        <v>0.20133901597521531</v>
      </c>
    </row>
    <row r="647" spans="5:7" x14ac:dyDescent="0.35">
      <c r="E647">
        <v>622</v>
      </c>
      <c r="F647" s="3">
        <v>421.06487642657567</v>
      </c>
      <c r="G647" s="4">
        <v>0.22269129237166752</v>
      </c>
    </row>
    <row r="648" spans="5:7" x14ac:dyDescent="0.35">
      <c r="E648">
        <v>623</v>
      </c>
      <c r="F648" s="3">
        <v>384.58261715800199</v>
      </c>
      <c r="G648" s="4">
        <v>0.21151195756976016</v>
      </c>
    </row>
    <row r="649" spans="5:7" x14ac:dyDescent="0.35">
      <c r="E649">
        <v>624</v>
      </c>
      <c r="F649" s="3">
        <v>358.31490294612331</v>
      </c>
      <c r="G649" s="4">
        <v>0.2026800857603277</v>
      </c>
    </row>
    <row r="650" spans="5:7" x14ac:dyDescent="0.35">
      <c r="E650">
        <v>625</v>
      </c>
      <c r="F650" s="3">
        <v>454.69387312806271</v>
      </c>
      <c r="G650" s="4">
        <v>0.22817197309653547</v>
      </c>
    </row>
    <row r="651" spans="5:7" x14ac:dyDescent="0.35">
      <c r="E651">
        <v>626</v>
      </c>
      <c r="F651" s="3">
        <v>463.34911749262756</v>
      </c>
      <c r="G651" s="4">
        <v>0.23378441316816456</v>
      </c>
    </row>
    <row r="652" spans="5:7" x14ac:dyDescent="0.35">
      <c r="E652">
        <v>627</v>
      </c>
      <c r="F652" s="3">
        <v>404.77916320717009</v>
      </c>
      <c r="G652" s="4">
        <v>0.22478276800393093</v>
      </c>
    </row>
    <row r="653" spans="5:7" x14ac:dyDescent="0.35">
      <c r="E653">
        <v>628</v>
      </c>
      <c r="F653" s="3">
        <v>429.95307830509569</v>
      </c>
      <c r="G653" s="4">
        <v>0.21856358867481629</v>
      </c>
    </row>
    <row r="654" spans="5:7" x14ac:dyDescent="0.35">
      <c r="E654">
        <v>629</v>
      </c>
      <c r="F654" s="3">
        <v>403.07818981993182</v>
      </c>
      <c r="G654" s="4">
        <v>0.21817560270881819</v>
      </c>
    </row>
    <row r="655" spans="5:7" x14ac:dyDescent="0.35">
      <c r="E655">
        <v>630</v>
      </c>
      <c r="F655" s="3">
        <v>389.47897626813165</v>
      </c>
      <c r="G655" s="4">
        <v>0.21856781506836942</v>
      </c>
    </row>
    <row r="656" spans="5:7" x14ac:dyDescent="0.35">
      <c r="E656">
        <v>631</v>
      </c>
      <c r="F656" s="3">
        <v>501.2923983694152</v>
      </c>
      <c r="G656" s="4">
        <v>0.23554518014431092</v>
      </c>
    </row>
    <row r="657" spans="5:7" x14ac:dyDescent="0.35">
      <c r="E657">
        <v>632</v>
      </c>
      <c r="F657" s="3">
        <v>299.5782881460907</v>
      </c>
      <c r="G657" s="4">
        <v>0.1846274193355546</v>
      </c>
    </row>
    <row r="658" spans="5:7" x14ac:dyDescent="0.35">
      <c r="E658">
        <v>633</v>
      </c>
      <c r="F658" s="3">
        <v>505.65886964220044</v>
      </c>
      <c r="G658" s="4">
        <v>0.26179351635357606</v>
      </c>
    </row>
    <row r="659" spans="5:7" x14ac:dyDescent="0.35">
      <c r="E659">
        <v>634</v>
      </c>
      <c r="F659" s="3">
        <v>245.57874096896273</v>
      </c>
      <c r="G659" s="4">
        <v>0.15852361158577044</v>
      </c>
    </row>
    <row r="660" spans="5:7" x14ac:dyDescent="0.35">
      <c r="E660">
        <v>635</v>
      </c>
      <c r="F660" s="3">
        <v>375.43127727815477</v>
      </c>
      <c r="G660" s="4">
        <v>0.21235910423389126</v>
      </c>
    </row>
    <row r="661" spans="5:7" x14ac:dyDescent="0.35">
      <c r="E661">
        <v>636</v>
      </c>
      <c r="F661" s="3">
        <v>542.78090659861527</v>
      </c>
      <c r="G661" s="4">
        <v>0.2622904545369642</v>
      </c>
    </row>
    <row r="662" spans="5:7" x14ac:dyDescent="0.35">
      <c r="E662">
        <v>637</v>
      </c>
      <c r="F662" s="3">
        <v>524.31064231890582</v>
      </c>
      <c r="G662" s="4">
        <v>0.25020931313940942</v>
      </c>
    </row>
    <row r="663" spans="5:7" x14ac:dyDescent="0.35">
      <c r="E663">
        <v>638</v>
      </c>
      <c r="F663" s="3">
        <v>357.16333150362698</v>
      </c>
      <c r="G663" s="4">
        <v>0.19845924715724261</v>
      </c>
    </row>
    <row r="664" spans="5:7" x14ac:dyDescent="0.35">
      <c r="E664">
        <v>639</v>
      </c>
      <c r="F664" s="3">
        <v>451.59536161662845</v>
      </c>
      <c r="G664" s="4">
        <v>0.22700749069623161</v>
      </c>
    </row>
    <row r="665" spans="5:7" x14ac:dyDescent="0.35">
      <c r="E665">
        <v>640</v>
      </c>
      <c r="F665" s="3">
        <v>488.86171257085107</v>
      </c>
      <c r="G665" s="4">
        <v>0.22009931426961504</v>
      </c>
    </row>
    <row r="666" spans="5:7" x14ac:dyDescent="0.35">
      <c r="E666">
        <v>641</v>
      </c>
      <c r="F666" s="3">
        <v>433.92095535545923</v>
      </c>
      <c r="G666" s="4">
        <v>0.21428443107097905</v>
      </c>
    </row>
    <row r="667" spans="5:7" x14ac:dyDescent="0.35">
      <c r="E667">
        <v>642</v>
      </c>
      <c r="F667" s="3">
        <v>385.14098073991477</v>
      </c>
      <c r="G667" s="4">
        <v>0.2077493518927529</v>
      </c>
    </row>
    <row r="668" spans="5:7" x14ac:dyDescent="0.35">
      <c r="E668">
        <v>643</v>
      </c>
      <c r="F668" s="3">
        <v>497.61784847949366</v>
      </c>
      <c r="G668" s="4">
        <v>0.242677913790871</v>
      </c>
    </row>
    <row r="669" spans="5:7" x14ac:dyDescent="0.35">
      <c r="E669">
        <v>644</v>
      </c>
      <c r="F669" s="3">
        <v>287.00547459873337</v>
      </c>
      <c r="G669" s="4">
        <v>0.18585402129141149</v>
      </c>
    </row>
    <row r="670" spans="5:7" x14ac:dyDescent="0.35">
      <c r="E670">
        <v>645</v>
      </c>
      <c r="F670" s="3">
        <v>637.05864524411277</v>
      </c>
      <c r="G670" s="4">
        <v>0.28134852512307651</v>
      </c>
    </row>
    <row r="671" spans="5:7" x14ac:dyDescent="0.35">
      <c r="E671">
        <v>646</v>
      </c>
      <c r="F671" s="3">
        <v>442.89426667501766</v>
      </c>
      <c r="G671" s="4">
        <v>0.21845662230101914</v>
      </c>
    </row>
    <row r="672" spans="5:7" x14ac:dyDescent="0.35">
      <c r="E672">
        <v>647</v>
      </c>
      <c r="F672" s="3">
        <v>430.05448749990342</v>
      </c>
      <c r="G672" s="4">
        <v>0.22316526967877115</v>
      </c>
    </row>
    <row r="673" spans="5:7" x14ac:dyDescent="0.35">
      <c r="E673">
        <v>648</v>
      </c>
      <c r="F673" s="3">
        <v>408.1712413170651</v>
      </c>
      <c r="G673" s="4">
        <v>0.20848634377855801</v>
      </c>
    </row>
    <row r="674" spans="5:7" x14ac:dyDescent="0.35">
      <c r="E674">
        <v>649</v>
      </c>
      <c r="F674" s="3">
        <v>301.20825835679648</v>
      </c>
      <c r="G674" s="4">
        <v>0.18892576410679407</v>
      </c>
    </row>
    <row r="675" spans="5:7" x14ac:dyDescent="0.35">
      <c r="E675">
        <v>650</v>
      </c>
      <c r="F675" s="3">
        <v>475.83104972749379</v>
      </c>
      <c r="G675" s="4">
        <v>0.23541856025257601</v>
      </c>
    </row>
    <row r="676" spans="5:7" x14ac:dyDescent="0.35">
      <c r="E676">
        <v>651</v>
      </c>
      <c r="F676" s="3">
        <v>536.0651067256772</v>
      </c>
      <c r="G676" s="4">
        <v>0.25272393606010657</v>
      </c>
    </row>
    <row r="677" spans="5:7" x14ac:dyDescent="0.35">
      <c r="E677">
        <v>652</v>
      </c>
      <c r="F677" s="3">
        <v>520.92667650459703</v>
      </c>
      <c r="G677" s="4">
        <v>0.22955985758900455</v>
      </c>
    </row>
    <row r="678" spans="5:7" x14ac:dyDescent="0.35">
      <c r="E678">
        <v>653</v>
      </c>
      <c r="F678" s="3">
        <v>496.45272803691455</v>
      </c>
      <c r="G678" s="4">
        <v>0.23141357063929058</v>
      </c>
    </row>
    <row r="679" spans="5:7" x14ac:dyDescent="0.35">
      <c r="E679">
        <v>654</v>
      </c>
      <c r="F679" s="3">
        <v>322.90415912190497</v>
      </c>
      <c r="G679" s="4">
        <v>0.19364010633749729</v>
      </c>
    </row>
    <row r="680" spans="5:7" x14ac:dyDescent="0.35">
      <c r="E680">
        <v>655</v>
      </c>
      <c r="F680" s="3">
        <v>493.44372508767924</v>
      </c>
      <c r="G680" s="4">
        <v>0.22209889220036239</v>
      </c>
    </row>
    <row r="681" spans="5:7" x14ac:dyDescent="0.35">
      <c r="E681">
        <v>656</v>
      </c>
      <c r="F681" s="3">
        <v>420.53889280550879</v>
      </c>
      <c r="G681" s="4">
        <v>0.21978076056331641</v>
      </c>
    </row>
    <row r="682" spans="5:7" x14ac:dyDescent="0.35">
      <c r="E682">
        <v>657</v>
      </c>
      <c r="F682" s="3">
        <v>305.47811634807749</v>
      </c>
      <c r="G682" s="4">
        <v>0.17653553651317</v>
      </c>
    </row>
    <row r="683" spans="5:7" x14ac:dyDescent="0.35">
      <c r="E683">
        <v>658</v>
      </c>
      <c r="F683" s="3">
        <v>515.41345936249945</v>
      </c>
      <c r="G683" s="4">
        <v>0.23201841333047257</v>
      </c>
    </row>
    <row r="684" spans="5:7" x14ac:dyDescent="0.35">
      <c r="E684">
        <v>659</v>
      </c>
      <c r="F684" s="3">
        <v>281.41497083908325</v>
      </c>
      <c r="G684" s="4">
        <v>0.18016554735832324</v>
      </c>
    </row>
    <row r="685" spans="5:7" x14ac:dyDescent="0.35">
      <c r="E685">
        <v>660</v>
      </c>
      <c r="F685" s="3">
        <v>482.48902213503607</v>
      </c>
      <c r="G685" s="4">
        <v>0.23275523457868141</v>
      </c>
    </row>
    <row r="686" spans="5:7" x14ac:dyDescent="0.35">
      <c r="E686">
        <v>661</v>
      </c>
      <c r="F686" s="3">
        <v>450.07152521360877</v>
      </c>
      <c r="G686" s="4">
        <v>0.22435710516641594</v>
      </c>
    </row>
    <row r="687" spans="5:7" x14ac:dyDescent="0.35">
      <c r="E687">
        <v>662</v>
      </c>
      <c r="F687" s="3">
        <v>405.54298978561883</v>
      </c>
      <c r="G687" s="4">
        <v>0.2216587274246351</v>
      </c>
    </row>
    <row r="688" spans="5:7" x14ac:dyDescent="0.35">
      <c r="E688">
        <v>663</v>
      </c>
      <c r="F688" s="3">
        <v>354.14908050788836</v>
      </c>
      <c r="G688" s="4">
        <v>0.19784601141458169</v>
      </c>
    </row>
    <row r="689" spans="5:7" x14ac:dyDescent="0.35">
      <c r="E689">
        <v>664</v>
      </c>
      <c r="F689" s="3">
        <v>357.99614446759688</v>
      </c>
      <c r="G689" s="4">
        <v>0.19077419885835734</v>
      </c>
    </row>
    <row r="690" spans="5:7" x14ac:dyDescent="0.35">
      <c r="E690">
        <v>665</v>
      </c>
      <c r="F690" s="3">
        <v>274.16187230064088</v>
      </c>
      <c r="G690" s="4">
        <v>0.17909707197546321</v>
      </c>
    </row>
    <row r="691" spans="5:7" x14ac:dyDescent="0.35">
      <c r="E691">
        <v>666</v>
      </c>
      <c r="F691" s="3">
        <v>359.14300866750432</v>
      </c>
      <c r="G691" s="4">
        <v>0.20336235888933873</v>
      </c>
    </row>
    <row r="692" spans="5:7" x14ac:dyDescent="0.35">
      <c r="E692">
        <v>667</v>
      </c>
      <c r="F692" s="3">
        <v>412.24513502769014</v>
      </c>
      <c r="G692" s="4">
        <v>0.20834577265951437</v>
      </c>
    </row>
    <row r="693" spans="5:7" x14ac:dyDescent="0.35">
      <c r="E693">
        <v>668</v>
      </c>
      <c r="F693" s="3">
        <v>512.54191757284616</v>
      </c>
      <c r="G693" s="4">
        <v>0.23651281531501978</v>
      </c>
    </row>
    <row r="694" spans="5:7" x14ac:dyDescent="0.35">
      <c r="E694">
        <v>669</v>
      </c>
      <c r="F694" s="3">
        <v>441.74601853135346</v>
      </c>
      <c r="G694" s="4">
        <v>0.23396417162999184</v>
      </c>
    </row>
    <row r="695" spans="5:7" x14ac:dyDescent="0.35">
      <c r="E695">
        <v>670</v>
      </c>
      <c r="F695" s="3">
        <v>460.75150309193759</v>
      </c>
      <c r="G695" s="4">
        <v>0.224552919232061</v>
      </c>
    </row>
    <row r="696" spans="5:7" x14ac:dyDescent="0.35">
      <c r="E696">
        <v>671</v>
      </c>
      <c r="F696" s="3">
        <v>256.0290164351652</v>
      </c>
      <c r="G696" s="4">
        <v>0.17519406882891286</v>
      </c>
    </row>
    <row r="697" spans="5:7" x14ac:dyDescent="0.35">
      <c r="E697">
        <v>672</v>
      </c>
      <c r="F697" s="3">
        <v>538.72184213199671</v>
      </c>
      <c r="G697" s="4">
        <v>0.24463025415393758</v>
      </c>
    </row>
    <row r="698" spans="5:7" x14ac:dyDescent="0.35">
      <c r="E698">
        <v>673</v>
      </c>
      <c r="F698" s="3">
        <v>386.85950427617195</v>
      </c>
      <c r="G698" s="4">
        <v>0.22053283495619946</v>
      </c>
    </row>
    <row r="699" spans="5:7" x14ac:dyDescent="0.35">
      <c r="E699">
        <v>674</v>
      </c>
      <c r="F699" s="3">
        <v>471.92923485158803</v>
      </c>
      <c r="G699" s="4">
        <v>0.23304016905925007</v>
      </c>
    </row>
    <row r="700" spans="5:7" x14ac:dyDescent="0.35">
      <c r="E700">
        <v>675</v>
      </c>
      <c r="F700" s="3">
        <v>428.45487219247707</v>
      </c>
      <c r="G700" s="4">
        <v>0.2181515735389612</v>
      </c>
    </row>
    <row r="701" spans="5:7" x14ac:dyDescent="0.35">
      <c r="E701">
        <v>676</v>
      </c>
      <c r="F701" s="3">
        <v>448.81602908946957</v>
      </c>
      <c r="G701" s="4">
        <v>0.2246071800119569</v>
      </c>
    </row>
    <row r="702" spans="5:7" x14ac:dyDescent="0.35">
      <c r="E702">
        <v>677</v>
      </c>
      <c r="F702" s="3">
        <v>418.41108368054392</v>
      </c>
      <c r="G702" s="4">
        <v>0.22345000171257534</v>
      </c>
    </row>
    <row r="703" spans="5:7" x14ac:dyDescent="0.35">
      <c r="E703">
        <v>678</v>
      </c>
      <c r="F703" s="3">
        <v>345.83837706150689</v>
      </c>
      <c r="G703" s="4">
        <v>0.20758276435849954</v>
      </c>
    </row>
    <row r="704" spans="5:7" x14ac:dyDescent="0.35">
      <c r="E704">
        <v>679</v>
      </c>
      <c r="F704" s="3">
        <v>535.71401479844758</v>
      </c>
      <c r="G704" s="4">
        <v>0.26542615636906075</v>
      </c>
    </row>
    <row r="705" spans="5:12" x14ac:dyDescent="0.35">
      <c r="E705">
        <v>680</v>
      </c>
      <c r="F705" s="3">
        <v>295.95666865718613</v>
      </c>
      <c r="G705" s="4">
        <v>0.17991828987519831</v>
      </c>
    </row>
    <row r="706" spans="5:12" x14ac:dyDescent="0.35">
      <c r="E706">
        <v>681</v>
      </c>
      <c r="F706" s="3">
        <v>467.79379728982349</v>
      </c>
      <c r="G706" s="4">
        <v>0.22067476664371632</v>
      </c>
    </row>
    <row r="707" spans="5:12" x14ac:dyDescent="0.35">
      <c r="E707">
        <v>682</v>
      </c>
      <c r="F707" s="3">
        <v>415.05617439462844</v>
      </c>
      <c r="G707" s="4">
        <v>0.21764823442233361</v>
      </c>
    </row>
    <row r="708" spans="5:12" x14ac:dyDescent="0.35">
      <c r="E708">
        <v>683</v>
      </c>
      <c r="F708" s="3">
        <v>486.14078087003986</v>
      </c>
      <c r="G708" s="4">
        <v>0.24172547348726114</v>
      </c>
    </row>
    <row r="709" spans="5:12" x14ac:dyDescent="0.35">
      <c r="E709">
        <v>684</v>
      </c>
      <c r="F709" s="3">
        <v>432.54946734604709</v>
      </c>
      <c r="G709" s="4">
        <v>0.23428821813860989</v>
      </c>
    </row>
    <row r="710" spans="5:12" x14ac:dyDescent="0.35">
      <c r="E710">
        <v>685</v>
      </c>
      <c r="F710" s="3">
        <v>542.59023270646094</v>
      </c>
      <c r="G710" s="4">
        <v>0.25193314741179962</v>
      </c>
    </row>
    <row r="711" spans="5:12" x14ac:dyDescent="0.35">
      <c r="E711">
        <v>686</v>
      </c>
      <c r="F711" s="3">
        <v>369.15497494219312</v>
      </c>
      <c r="G711" s="4">
        <v>0.20699518702816166</v>
      </c>
    </row>
    <row r="712" spans="5:12" x14ac:dyDescent="0.35">
      <c r="E712">
        <v>687</v>
      </c>
      <c r="F712" s="3">
        <v>249.01702953761014</v>
      </c>
      <c r="G712" s="4">
        <v>0.16941457156784878</v>
      </c>
    </row>
    <row r="713" spans="5:12" x14ac:dyDescent="0.35">
      <c r="E713">
        <v>688</v>
      </c>
      <c r="F713" s="3">
        <v>223.40411940547892</v>
      </c>
      <c r="G713" s="4">
        <v>0.15984166958629809</v>
      </c>
    </row>
    <row r="714" spans="5:12" x14ac:dyDescent="0.35">
      <c r="E714">
        <v>689</v>
      </c>
      <c r="F714" s="3">
        <v>454.80021110335633</v>
      </c>
      <c r="G714" s="4">
        <v>0.2412806991773695</v>
      </c>
    </row>
    <row r="715" spans="5:12" x14ac:dyDescent="0.35">
      <c r="E715">
        <v>690</v>
      </c>
      <c r="F715" s="3">
        <v>396.43082728677518</v>
      </c>
      <c r="G715" s="4">
        <v>0.20971920598909355</v>
      </c>
      <c r="L715" s="2"/>
    </row>
    <row r="716" spans="5:12" x14ac:dyDescent="0.35">
      <c r="E716">
        <v>691</v>
      </c>
      <c r="F716" s="3">
        <v>410.34010704769912</v>
      </c>
      <c r="G716" s="4">
        <v>0.2051503180090144</v>
      </c>
    </row>
    <row r="717" spans="5:12" x14ac:dyDescent="0.35">
      <c r="E717">
        <v>692</v>
      </c>
      <c r="F717" s="3">
        <v>548.57420109570899</v>
      </c>
      <c r="G717" s="4">
        <v>0.24081755488682943</v>
      </c>
    </row>
    <row r="718" spans="5:12" x14ac:dyDescent="0.35">
      <c r="E718">
        <v>693</v>
      </c>
      <c r="F718" s="3">
        <v>303.36717928644453</v>
      </c>
      <c r="G718" s="4">
        <v>0.18038516184975473</v>
      </c>
    </row>
    <row r="719" spans="5:12" x14ac:dyDescent="0.35">
      <c r="E719">
        <v>694</v>
      </c>
      <c r="F719" s="3">
        <v>248.89377815323803</v>
      </c>
      <c r="G719" s="4">
        <v>0.16969103283387654</v>
      </c>
    </row>
    <row r="720" spans="5:12" x14ac:dyDescent="0.35">
      <c r="E720">
        <v>695</v>
      </c>
      <c r="F720" s="3">
        <v>319.90995349239142</v>
      </c>
      <c r="G720" s="4">
        <v>0.18554994506415556</v>
      </c>
    </row>
    <row r="721" spans="5:7" x14ac:dyDescent="0.35">
      <c r="E721">
        <v>696</v>
      </c>
      <c r="F721" s="3">
        <v>517.74944951465386</v>
      </c>
      <c r="G721" s="4">
        <v>0.23829800326103134</v>
      </c>
    </row>
    <row r="722" spans="5:7" x14ac:dyDescent="0.35">
      <c r="E722">
        <v>697</v>
      </c>
      <c r="F722" s="3">
        <v>447.04133406986512</v>
      </c>
      <c r="G722" s="4">
        <v>0.22489115308619079</v>
      </c>
    </row>
    <row r="723" spans="5:7" x14ac:dyDescent="0.35">
      <c r="E723">
        <v>698</v>
      </c>
      <c r="F723" s="3">
        <v>460.68290338722568</v>
      </c>
      <c r="G723" s="4">
        <v>0.23793778920588138</v>
      </c>
    </row>
    <row r="724" spans="5:7" x14ac:dyDescent="0.35">
      <c r="E724">
        <v>699</v>
      </c>
      <c r="F724" s="3">
        <v>355.65660210114493</v>
      </c>
      <c r="G724" s="4">
        <v>0.19360203948572297</v>
      </c>
    </row>
    <row r="725" spans="5:7" x14ac:dyDescent="0.35">
      <c r="E725">
        <v>700</v>
      </c>
      <c r="F725" s="3">
        <v>620.87534958391143</v>
      </c>
      <c r="G725" s="4">
        <v>0.28362278773058613</v>
      </c>
    </row>
    <row r="726" spans="5:7" x14ac:dyDescent="0.35">
      <c r="E726">
        <v>701</v>
      </c>
      <c r="F726" s="3">
        <v>333.09890704122495</v>
      </c>
      <c r="G726" s="4">
        <v>0.18969738781939816</v>
      </c>
    </row>
    <row r="727" spans="5:7" x14ac:dyDescent="0.35">
      <c r="E727">
        <v>702</v>
      </c>
      <c r="F727" s="3">
        <v>312.14843071679616</v>
      </c>
      <c r="G727" s="4">
        <v>0.18960820045189175</v>
      </c>
    </row>
    <row r="728" spans="5:7" x14ac:dyDescent="0.35">
      <c r="E728">
        <v>703</v>
      </c>
      <c r="F728" s="3">
        <v>278.10135794059011</v>
      </c>
      <c r="G728" s="4">
        <v>0.17707118288876278</v>
      </c>
    </row>
    <row r="729" spans="5:7" x14ac:dyDescent="0.35">
      <c r="E729">
        <v>704</v>
      </c>
      <c r="F729" s="3">
        <v>420.29550435217448</v>
      </c>
      <c r="G729" s="4">
        <v>0.21594879311055459</v>
      </c>
    </row>
    <row r="730" spans="5:7" x14ac:dyDescent="0.35">
      <c r="E730">
        <v>705</v>
      </c>
      <c r="F730" s="3">
        <v>525.94969145589675</v>
      </c>
      <c r="G730" s="4">
        <v>0.24200567198290668</v>
      </c>
    </row>
    <row r="731" spans="5:7" x14ac:dyDescent="0.35">
      <c r="E731">
        <v>706</v>
      </c>
      <c r="F731" s="3">
        <v>371.01120909083716</v>
      </c>
      <c r="G731" s="4">
        <v>0.19803275168006462</v>
      </c>
    </row>
    <row r="732" spans="5:7" x14ac:dyDescent="0.35">
      <c r="E732">
        <v>707</v>
      </c>
      <c r="F732" s="3">
        <v>428.5792912370905</v>
      </c>
      <c r="G732" s="4">
        <v>0.21382692476063414</v>
      </c>
    </row>
    <row r="733" spans="5:7" x14ac:dyDescent="0.35">
      <c r="E733">
        <v>708</v>
      </c>
      <c r="F733" s="3">
        <v>511.14084210985447</v>
      </c>
      <c r="G733" s="4">
        <v>0.24145010411301837</v>
      </c>
    </row>
    <row r="734" spans="5:7" x14ac:dyDescent="0.35">
      <c r="E734">
        <v>709</v>
      </c>
      <c r="F734" s="3">
        <v>490.30281561794709</v>
      </c>
      <c r="G734" s="4">
        <v>0.23957196617909227</v>
      </c>
    </row>
    <row r="735" spans="5:7" x14ac:dyDescent="0.35">
      <c r="E735">
        <v>710</v>
      </c>
      <c r="F735" s="3">
        <v>167.96255291083969</v>
      </c>
      <c r="G735" s="4">
        <v>0.14642574913897244</v>
      </c>
    </row>
    <row r="736" spans="5:7" x14ac:dyDescent="0.35">
      <c r="E736">
        <v>711</v>
      </c>
      <c r="F736" s="3">
        <v>346.94880728831868</v>
      </c>
      <c r="G736" s="4">
        <v>0.19892404898833194</v>
      </c>
    </row>
    <row r="737" spans="5:7" x14ac:dyDescent="0.35">
      <c r="E737">
        <v>712</v>
      </c>
      <c r="F737" s="3">
        <v>292.35054228383456</v>
      </c>
      <c r="G737" s="4">
        <v>0.18656349222231072</v>
      </c>
    </row>
    <row r="738" spans="5:7" x14ac:dyDescent="0.35">
      <c r="E738">
        <v>713</v>
      </c>
      <c r="F738" s="3">
        <v>409.24255173289885</v>
      </c>
      <c r="G738" s="4">
        <v>0.21092473228540665</v>
      </c>
    </row>
    <row r="739" spans="5:7" x14ac:dyDescent="0.35">
      <c r="E739">
        <v>714</v>
      </c>
      <c r="F739" s="3">
        <v>678.69201978564956</v>
      </c>
      <c r="G739" s="4">
        <v>0.29811313804298267</v>
      </c>
    </row>
    <row r="740" spans="5:7" x14ac:dyDescent="0.35">
      <c r="E740">
        <v>715</v>
      </c>
      <c r="F740" s="3">
        <v>454.45456831822321</v>
      </c>
      <c r="G740" s="4">
        <v>0.22446085002583582</v>
      </c>
    </row>
    <row r="741" spans="5:7" x14ac:dyDescent="0.35">
      <c r="E741">
        <v>716</v>
      </c>
      <c r="F741" s="3">
        <v>531.50512348904181</v>
      </c>
      <c r="G741" s="4">
        <v>0.25447876208317766</v>
      </c>
    </row>
    <row r="742" spans="5:7" x14ac:dyDescent="0.35">
      <c r="E742">
        <v>717</v>
      </c>
      <c r="F742" s="3">
        <v>562.17186740179022</v>
      </c>
      <c r="G742" s="4">
        <v>0.27743361974545189</v>
      </c>
    </row>
    <row r="743" spans="5:7" x14ac:dyDescent="0.35">
      <c r="E743">
        <v>718</v>
      </c>
      <c r="F743" s="3">
        <v>573.59676922444351</v>
      </c>
      <c r="G743" s="4">
        <v>0.26556406268675792</v>
      </c>
    </row>
    <row r="744" spans="5:7" x14ac:dyDescent="0.35">
      <c r="E744">
        <v>719</v>
      </c>
      <c r="F744" s="3">
        <v>238.511982910283</v>
      </c>
      <c r="G744" s="4">
        <v>0.16755659311401527</v>
      </c>
    </row>
    <row r="745" spans="5:7" x14ac:dyDescent="0.35">
      <c r="E745">
        <v>720</v>
      </c>
      <c r="F745" s="3">
        <v>383.58111219923126</v>
      </c>
      <c r="G745" s="4">
        <v>0.22037230430887833</v>
      </c>
    </row>
    <row r="746" spans="5:7" x14ac:dyDescent="0.35">
      <c r="E746">
        <v>721</v>
      </c>
      <c r="F746" s="3">
        <v>406.52378100900387</v>
      </c>
      <c r="G746" s="4">
        <v>0.21747287956383365</v>
      </c>
    </row>
    <row r="747" spans="5:7" x14ac:dyDescent="0.35">
      <c r="E747">
        <v>722</v>
      </c>
      <c r="F747" s="3">
        <v>604.28829068740038</v>
      </c>
      <c r="G747" s="4">
        <v>0.26493663724629513</v>
      </c>
    </row>
    <row r="748" spans="5:7" x14ac:dyDescent="0.35">
      <c r="E748">
        <v>723</v>
      </c>
      <c r="F748" s="3">
        <v>456.16214361498828</v>
      </c>
      <c r="G748" s="4">
        <v>0.21660565237250751</v>
      </c>
    </row>
    <row r="749" spans="5:7" x14ac:dyDescent="0.35">
      <c r="E749">
        <v>724</v>
      </c>
      <c r="F749" s="3">
        <v>490.64073152413539</v>
      </c>
      <c r="G749" s="4">
        <v>0.25176129584147233</v>
      </c>
    </row>
    <row r="750" spans="5:7" x14ac:dyDescent="0.35">
      <c r="E750">
        <v>725</v>
      </c>
      <c r="F750" s="3">
        <v>498.29536530918881</v>
      </c>
      <c r="G750" s="4">
        <v>0.22867326099197127</v>
      </c>
    </row>
    <row r="751" spans="5:7" x14ac:dyDescent="0.35">
      <c r="E751">
        <v>726</v>
      </c>
      <c r="F751" s="3">
        <v>542.24644287892306</v>
      </c>
      <c r="G751" s="4">
        <v>0.25393652084786433</v>
      </c>
    </row>
    <row r="752" spans="5:7" x14ac:dyDescent="0.35">
      <c r="E752">
        <v>727</v>
      </c>
      <c r="F752" s="3">
        <v>401.33515354513656</v>
      </c>
      <c r="G752" s="4">
        <v>0.21009169800472138</v>
      </c>
    </row>
    <row r="753" spans="5:7" x14ac:dyDescent="0.35">
      <c r="E753">
        <v>728</v>
      </c>
      <c r="F753" s="3">
        <v>633.32377463806074</v>
      </c>
      <c r="G753" s="4">
        <v>0.26446810600659365</v>
      </c>
    </row>
    <row r="754" spans="5:7" x14ac:dyDescent="0.35">
      <c r="E754">
        <v>729</v>
      </c>
      <c r="F754" s="3">
        <v>377.2551394672364</v>
      </c>
      <c r="G754" s="4">
        <v>0.20033896145519758</v>
      </c>
    </row>
    <row r="755" spans="5:7" x14ac:dyDescent="0.35">
      <c r="E755">
        <v>730</v>
      </c>
      <c r="F755" s="3">
        <v>426.35982430458535</v>
      </c>
      <c r="G755" s="4">
        <v>0.21749714689665089</v>
      </c>
    </row>
    <row r="756" spans="5:7" x14ac:dyDescent="0.35">
      <c r="E756">
        <v>731</v>
      </c>
      <c r="F756" s="3">
        <v>442.81966434381661</v>
      </c>
      <c r="G756" s="4">
        <v>0.22219343038541561</v>
      </c>
    </row>
    <row r="757" spans="5:7" x14ac:dyDescent="0.35">
      <c r="E757">
        <v>732</v>
      </c>
      <c r="F757" s="3">
        <v>384.37956383240589</v>
      </c>
      <c r="G757" s="4">
        <v>0.21247984579809032</v>
      </c>
    </row>
    <row r="758" spans="5:7" x14ac:dyDescent="0.35">
      <c r="E758">
        <v>733</v>
      </c>
      <c r="F758" s="3">
        <v>424.69831834276101</v>
      </c>
      <c r="G758" s="4">
        <v>0.21562869682422758</v>
      </c>
    </row>
    <row r="759" spans="5:7" x14ac:dyDescent="0.35">
      <c r="E759">
        <v>734</v>
      </c>
      <c r="F759" s="3">
        <v>302.99374764984668</v>
      </c>
      <c r="G759" s="4">
        <v>0.18059509613198732</v>
      </c>
    </row>
    <row r="760" spans="5:7" x14ac:dyDescent="0.35">
      <c r="E760">
        <v>735</v>
      </c>
      <c r="F760" s="3">
        <v>372.70826724813924</v>
      </c>
      <c r="G760" s="4">
        <v>0.19337011868900933</v>
      </c>
    </row>
    <row r="761" spans="5:7" x14ac:dyDescent="0.35">
      <c r="E761">
        <v>736</v>
      </c>
      <c r="F761" s="3">
        <v>522.55050224650881</v>
      </c>
      <c r="G761" s="4">
        <v>0.22962214144663462</v>
      </c>
    </row>
    <row r="762" spans="5:7" x14ac:dyDescent="0.35">
      <c r="E762">
        <v>737</v>
      </c>
      <c r="F762" s="3">
        <v>395.1053884160342</v>
      </c>
      <c r="G762" s="4">
        <v>0.21287527628455449</v>
      </c>
    </row>
    <row r="763" spans="5:7" x14ac:dyDescent="0.35">
      <c r="E763">
        <v>738</v>
      </c>
      <c r="F763" s="3">
        <v>367.36975091578233</v>
      </c>
      <c r="G763" s="4">
        <v>0.19533914145275921</v>
      </c>
    </row>
    <row r="764" spans="5:7" x14ac:dyDescent="0.35">
      <c r="E764">
        <v>739</v>
      </c>
      <c r="F764" s="3">
        <v>473.64031645219029</v>
      </c>
      <c r="G764" s="4">
        <v>0.23951146888345609</v>
      </c>
    </row>
    <row r="765" spans="5:7" x14ac:dyDescent="0.35">
      <c r="E765">
        <v>740</v>
      </c>
      <c r="F765" s="3">
        <v>533.34041415304887</v>
      </c>
      <c r="G765" s="4">
        <v>0.23784103818577695</v>
      </c>
    </row>
    <row r="766" spans="5:7" x14ac:dyDescent="0.35">
      <c r="E766">
        <v>741</v>
      </c>
      <c r="F766" s="3">
        <v>381.75564172780651</v>
      </c>
      <c r="G766" s="4">
        <v>0.21005144453452895</v>
      </c>
    </row>
    <row r="767" spans="5:7" x14ac:dyDescent="0.35">
      <c r="E767">
        <v>742</v>
      </c>
      <c r="F767" s="3">
        <v>392.40367446049231</v>
      </c>
      <c r="G767" s="4">
        <v>0.20765121026675049</v>
      </c>
    </row>
    <row r="768" spans="5:7" x14ac:dyDescent="0.35">
      <c r="E768">
        <v>743</v>
      </c>
      <c r="F768" s="3">
        <v>430.61057689860399</v>
      </c>
      <c r="G768" s="4">
        <v>0.21654964657418829</v>
      </c>
    </row>
    <row r="769" spans="5:7" x14ac:dyDescent="0.35">
      <c r="E769">
        <v>744</v>
      </c>
      <c r="F769" s="3">
        <v>603.30224851312641</v>
      </c>
      <c r="G769" s="4">
        <v>0.28538591120403933</v>
      </c>
    </row>
    <row r="770" spans="5:7" x14ac:dyDescent="0.35">
      <c r="E770">
        <v>745</v>
      </c>
      <c r="F770" s="3">
        <v>547.09217522826134</v>
      </c>
      <c r="G770" s="4">
        <v>0.24786396821696011</v>
      </c>
    </row>
    <row r="771" spans="5:7" x14ac:dyDescent="0.35">
      <c r="E771">
        <v>746</v>
      </c>
      <c r="F771" s="3">
        <v>322.85476172910444</v>
      </c>
      <c r="G771" s="4">
        <v>0.18625445939750285</v>
      </c>
    </row>
    <row r="772" spans="5:7" x14ac:dyDescent="0.35">
      <c r="E772">
        <v>747</v>
      </c>
      <c r="F772" s="3">
        <v>477.68582136735768</v>
      </c>
      <c r="G772" s="4">
        <v>0.22777341572322851</v>
      </c>
    </row>
    <row r="773" spans="5:7" x14ac:dyDescent="0.35">
      <c r="E773">
        <v>748</v>
      </c>
      <c r="F773" s="3">
        <v>401.87741997811372</v>
      </c>
      <c r="G773" s="4">
        <v>0.21859069662611996</v>
      </c>
    </row>
    <row r="774" spans="5:7" x14ac:dyDescent="0.35">
      <c r="E774">
        <v>749</v>
      </c>
      <c r="F774" s="3">
        <v>561.7239111242925</v>
      </c>
      <c r="G774" s="4">
        <v>0.25005683904081888</v>
      </c>
    </row>
    <row r="775" spans="5:7" x14ac:dyDescent="0.35">
      <c r="E775">
        <v>750</v>
      </c>
      <c r="F775" s="3">
        <v>529.85965289434421</v>
      </c>
      <c r="G775" s="4">
        <v>0.24463934188416414</v>
      </c>
    </row>
    <row r="776" spans="5:7" x14ac:dyDescent="0.35">
      <c r="E776">
        <v>751</v>
      </c>
      <c r="F776" s="3">
        <v>497.23126448728135</v>
      </c>
      <c r="G776" s="4">
        <v>0.23451486775450436</v>
      </c>
    </row>
    <row r="777" spans="5:7" x14ac:dyDescent="0.35">
      <c r="E777">
        <v>752</v>
      </c>
      <c r="F777" s="3">
        <v>439.2779094678649</v>
      </c>
      <c r="G777" s="4">
        <v>0.21644006555936013</v>
      </c>
    </row>
    <row r="778" spans="5:7" x14ac:dyDescent="0.35">
      <c r="E778">
        <v>753</v>
      </c>
      <c r="F778" s="3">
        <v>535.9547515047459</v>
      </c>
      <c r="G778" s="4">
        <v>0.2684570582408079</v>
      </c>
    </row>
    <row r="779" spans="5:7" x14ac:dyDescent="0.35">
      <c r="E779">
        <v>754</v>
      </c>
      <c r="F779" s="3">
        <v>462.75948279927434</v>
      </c>
      <c r="G779" s="4">
        <v>0.22971740553013098</v>
      </c>
    </row>
    <row r="780" spans="5:7" x14ac:dyDescent="0.35">
      <c r="E780">
        <v>755</v>
      </c>
      <c r="F780" s="3">
        <v>486.10209003718364</v>
      </c>
      <c r="G780" s="4">
        <v>0.22368822526046839</v>
      </c>
    </row>
    <row r="781" spans="5:7" x14ac:dyDescent="0.35">
      <c r="E781">
        <v>756</v>
      </c>
      <c r="F781" s="3">
        <v>685.20467307871741</v>
      </c>
      <c r="G781" s="4">
        <v>0.2863041419794834</v>
      </c>
    </row>
    <row r="782" spans="5:7" x14ac:dyDescent="0.35">
      <c r="E782">
        <v>757</v>
      </c>
      <c r="F782" s="3">
        <v>552.80011803778507</v>
      </c>
      <c r="G782" s="4">
        <v>0.25889513199497882</v>
      </c>
    </row>
    <row r="783" spans="5:7" x14ac:dyDescent="0.35">
      <c r="E783">
        <v>758</v>
      </c>
      <c r="F783" s="3">
        <v>387.62096564679928</v>
      </c>
      <c r="G783" s="4">
        <v>0.22104297481299917</v>
      </c>
    </row>
    <row r="784" spans="5:7" x14ac:dyDescent="0.35">
      <c r="E784">
        <v>759</v>
      </c>
      <c r="F784" s="3">
        <v>473.74929338214542</v>
      </c>
      <c r="G784" s="4">
        <v>0.24119931615201429</v>
      </c>
    </row>
    <row r="785" spans="5:7" x14ac:dyDescent="0.35">
      <c r="E785">
        <v>760</v>
      </c>
      <c r="F785" s="3">
        <v>253.14071856710325</v>
      </c>
      <c r="G785" s="4">
        <v>0.17635389978242344</v>
      </c>
    </row>
    <row r="786" spans="5:7" x14ac:dyDescent="0.35">
      <c r="E786">
        <v>761</v>
      </c>
      <c r="F786" s="3">
        <v>424.99795962949588</v>
      </c>
      <c r="G786" s="4">
        <v>0.23064602140069224</v>
      </c>
    </row>
    <row r="787" spans="5:7" x14ac:dyDescent="0.35">
      <c r="E787">
        <v>762</v>
      </c>
      <c r="F787" s="3">
        <v>530.4765284659577</v>
      </c>
      <c r="G787" s="4">
        <v>0.23797802318581196</v>
      </c>
    </row>
    <row r="788" spans="5:7" x14ac:dyDescent="0.35">
      <c r="E788">
        <v>763</v>
      </c>
      <c r="F788" s="3">
        <v>482.1529471093952</v>
      </c>
      <c r="G788" s="4">
        <v>0.22390756092116448</v>
      </c>
    </row>
    <row r="789" spans="5:7" x14ac:dyDescent="0.35">
      <c r="E789">
        <v>764</v>
      </c>
      <c r="F789" s="3">
        <v>412.65078437473699</v>
      </c>
      <c r="G789" s="4">
        <v>0.20989670460164933</v>
      </c>
    </row>
    <row r="790" spans="5:7" x14ac:dyDescent="0.35">
      <c r="E790">
        <v>765</v>
      </c>
      <c r="F790" s="3">
        <v>434.36410941709119</v>
      </c>
      <c r="G790" s="4">
        <v>0.2156340256653948</v>
      </c>
    </row>
    <row r="791" spans="5:7" x14ac:dyDescent="0.35">
      <c r="E791">
        <v>766</v>
      </c>
      <c r="F791" s="3">
        <v>320.57179556736446</v>
      </c>
      <c r="G791" s="4">
        <v>0.19524244595432672</v>
      </c>
    </row>
    <row r="792" spans="5:7" x14ac:dyDescent="0.35">
      <c r="E792">
        <v>767</v>
      </c>
      <c r="F792" s="3">
        <v>380.77580079014592</v>
      </c>
      <c r="G792" s="4">
        <v>0.2148710816571</v>
      </c>
    </row>
    <row r="793" spans="5:7" x14ac:dyDescent="0.35">
      <c r="E793">
        <v>768</v>
      </c>
      <c r="F793" s="3">
        <v>205.71760580997136</v>
      </c>
      <c r="G793" s="4">
        <v>0.16111319681561276</v>
      </c>
    </row>
    <row r="794" spans="5:7" x14ac:dyDescent="0.35">
      <c r="E794">
        <v>769</v>
      </c>
      <c r="F794" s="3">
        <v>449.39961002775908</v>
      </c>
      <c r="G794" s="4">
        <v>0.23145493172472409</v>
      </c>
    </row>
    <row r="795" spans="5:7" x14ac:dyDescent="0.35">
      <c r="E795">
        <v>770</v>
      </c>
      <c r="F795" s="3">
        <v>468.9432590871113</v>
      </c>
      <c r="G795" s="4">
        <v>0.24594930042231877</v>
      </c>
    </row>
    <row r="796" spans="5:7" x14ac:dyDescent="0.35">
      <c r="E796">
        <v>771</v>
      </c>
      <c r="F796" s="3">
        <v>514.82378833166422</v>
      </c>
      <c r="G796" s="4">
        <v>0.23756243713413805</v>
      </c>
    </row>
    <row r="797" spans="5:7" x14ac:dyDescent="0.35">
      <c r="E797">
        <v>772</v>
      </c>
      <c r="F797" s="3">
        <v>314.01047532276903</v>
      </c>
      <c r="G797" s="4">
        <v>0.18384414150105255</v>
      </c>
    </row>
    <row r="798" spans="5:7" x14ac:dyDescent="0.35">
      <c r="E798">
        <v>773</v>
      </c>
      <c r="F798" s="3">
        <v>272.11911588685848</v>
      </c>
      <c r="G798" s="4">
        <v>0.17659326033792944</v>
      </c>
    </row>
    <row r="799" spans="5:7" x14ac:dyDescent="0.35">
      <c r="E799">
        <v>774</v>
      </c>
      <c r="F799" s="3">
        <v>400.07208788087428</v>
      </c>
      <c r="G799" s="4">
        <v>0.21110786477787835</v>
      </c>
    </row>
    <row r="800" spans="5:7" x14ac:dyDescent="0.35">
      <c r="E800">
        <v>775</v>
      </c>
      <c r="F800" s="3">
        <v>335.93420589078755</v>
      </c>
      <c r="G800" s="4">
        <v>0.20607636956253095</v>
      </c>
    </row>
    <row r="801" spans="5:7" x14ac:dyDescent="0.35">
      <c r="E801">
        <v>776</v>
      </c>
      <c r="F801" s="3">
        <v>322.12666943403133</v>
      </c>
      <c r="G801" s="4">
        <v>0.18973202465789396</v>
      </c>
    </row>
    <row r="802" spans="5:7" x14ac:dyDescent="0.35">
      <c r="E802">
        <v>777</v>
      </c>
      <c r="F802" s="3">
        <v>310.01572019509649</v>
      </c>
      <c r="G802" s="4">
        <v>0.186900019125674</v>
      </c>
    </row>
    <row r="803" spans="5:7" x14ac:dyDescent="0.35">
      <c r="E803">
        <v>778</v>
      </c>
      <c r="F803" s="3">
        <v>364.24152921465202</v>
      </c>
      <c r="G803" s="4">
        <v>0.20457555045474418</v>
      </c>
    </row>
    <row r="804" spans="5:7" x14ac:dyDescent="0.35">
      <c r="E804">
        <v>779</v>
      </c>
      <c r="F804" s="3">
        <v>452.01536451256015</v>
      </c>
      <c r="G804" s="4">
        <v>0.23012695811248407</v>
      </c>
    </row>
    <row r="805" spans="5:7" x14ac:dyDescent="0.35">
      <c r="E805">
        <v>780</v>
      </c>
      <c r="F805" s="3">
        <v>341.44641989660681</v>
      </c>
      <c r="G805" s="4">
        <v>0.20998327355252266</v>
      </c>
    </row>
    <row r="806" spans="5:7" x14ac:dyDescent="0.35">
      <c r="E806">
        <v>781</v>
      </c>
      <c r="F806" s="3">
        <v>293.70635151314514</v>
      </c>
      <c r="G806" s="4">
        <v>0.18328450259052209</v>
      </c>
    </row>
    <row r="807" spans="5:7" x14ac:dyDescent="0.35">
      <c r="E807">
        <v>782</v>
      </c>
      <c r="F807" s="3">
        <v>567.79035243562021</v>
      </c>
      <c r="G807" s="4">
        <v>0.26358618677086176</v>
      </c>
    </row>
    <row r="808" spans="5:7" x14ac:dyDescent="0.35">
      <c r="E808">
        <v>783</v>
      </c>
      <c r="F808" s="3">
        <v>533.85714386102791</v>
      </c>
      <c r="G808" s="4">
        <v>0.2623047757334307</v>
      </c>
    </row>
    <row r="809" spans="5:7" x14ac:dyDescent="0.35">
      <c r="E809">
        <v>784</v>
      </c>
      <c r="F809" s="3">
        <v>247.32732780063907</v>
      </c>
      <c r="G809" s="4">
        <v>0.17392117480766056</v>
      </c>
    </row>
    <row r="810" spans="5:7" x14ac:dyDescent="0.35">
      <c r="E810">
        <v>785</v>
      </c>
      <c r="F810" s="3">
        <v>394.10420842236181</v>
      </c>
      <c r="G810" s="4">
        <v>0.20295508019778841</v>
      </c>
    </row>
    <row r="811" spans="5:7" x14ac:dyDescent="0.35">
      <c r="E811">
        <v>786</v>
      </c>
      <c r="F811" s="3">
        <v>352.15755379937536</v>
      </c>
      <c r="G811" s="4">
        <v>0.2000955232087025</v>
      </c>
    </row>
    <row r="812" spans="5:7" x14ac:dyDescent="0.35">
      <c r="E812">
        <v>787</v>
      </c>
      <c r="F812" s="3">
        <v>444.26170584628608</v>
      </c>
      <c r="G812" s="4">
        <v>0.23271300800690997</v>
      </c>
    </row>
    <row r="813" spans="5:7" x14ac:dyDescent="0.35">
      <c r="E813">
        <v>788</v>
      </c>
      <c r="F813" s="3">
        <v>344.25380333517728</v>
      </c>
      <c r="G813" s="4">
        <v>0.19316910879945559</v>
      </c>
    </row>
    <row r="814" spans="5:7" x14ac:dyDescent="0.35">
      <c r="E814">
        <v>789</v>
      </c>
      <c r="F814" s="3">
        <v>474.15293831489771</v>
      </c>
      <c r="G814" s="4">
        <v>0.23605701205034757</v>
      </c>
    </row>
    <row r="815" spans="5:7" x14ac:dyDescent="0.35">
      <c r="E815">
        <v>790</v>
      </c>
      <c r="F815" s="3">
        <v>573.63036105451965</v>
      </c>
      <c r="G815" s="4">
        <v>0.26440273864955999</v>
      </c>
    </row>
    <row r="816" spans="5:7" x14ac:dyDescent="0.35">
      <c r="E816">
        <v>791</v>
      </c>
      <c r="F816" s="3">
        <v>290.13633923999555</v>
      </c>
      <c r="G816" s="4">
        <v>0.18908112337120264</v>
      </c>
    </row>
    <row r="817" spans="5:7" x14ac:dyDescent="0.35">
      <c r="E817">
        <v>792</v>
      </c>
      <c r="F817" s="3">
        <v>379.64321847489168</v>
      </c>
      <c r="G817" s="4">
        <v>0.2018828598275364</v>
      </c>
    </row>
    <row r="818" spans="5:7" x14ac:dyDescent="0.35">
      <c r="E818">
        <v>793</v>
      </c>
      <c r="F818" s="3">
        <v>420.35236835731894</v>
      </c>
      <c r="G818" s="4">
        <v>0.21224115388285769</v>
      </c>
    </row>
    <row r="819" spans="5:7" x14ac:dyDescent="0.35">
      <c r="E819">
        <v>794</v>
      </c>
      <c r="F819" s="3">
        <v>399.88273834455481</v>
      </c>
      <c r="G819" s="4">
        <v>0.2031117262809965</v>
      </c>
    </row>
    <row r="820" spans="5:7" x14ac:dyDescent="0.35">
      <c r="E820">
        <v>795</v>
      </c>
      <c r="F820" s="3">
        <v>439.83306999468255</v>
      </c>
      <c r="G820" s="4">
        <v>0.23434392789419145</v>
      </c>
    </row>
    <row r="821" spans="5:7" x14ac:dyDescent="0.35">
      <c r="E821">
        <v>796</v>
      </c>
      <c r="F821" s="3">
        <v>330.00368788919764</v>
      </c>
      <c r="G821" s="4">
        <v>0.19096085726393874</v>
      </c>
    </row>
    <row r="822" spans="5:7" x14ac:dyDescent="0.35">
      <c r="E822">
        <v>797</v>
      </c>
      <c r="F822" s="3">
        <v>474.60262592697836</v>
      </c>
      <c r="G822" s="4">
        <v>0.23955013541682857</v>
      </c>
    </row>
    <row r="823" spans="5:7" x14ac:dyDescent="0.35">
      <c r="E823">
        <v>798</v>
      </c>
      <c r="F823" s="3">
        <v>458.20399656185873</v>
      </c>
      <c r="G823" s="4">
        <v>0.23057308418438871</v>
      </c>
    </row>
    <row r="824" spans="5:7" x14ac:dyDescent="0.35">
      <c r="E824">
        <v>799</v>
      </c>
      <c r="F824" s="3">
        <v>282.10969215098771</v>
      </c>
      <c r="G824" s="4">
        <v>0.1808382335216292</v>
      </c>
    </row>
    <row r="825" spans="5:7" x14ac:dyDescent="0.35">
      <c r="E825">
        <v>800</v>
      </c>
      <c r="F825" s="3">
        <v>431.51486620438573</v>
      </c>
      <c r="G825" s="4">
        <v>0.22695234574338974</v>
      </c>
    </row>
    <row r="826" spans="5:7" x14ac:dyDescent="0.35">
      <c r="E826">
        <v>801</v>
      </c>
      <c r="F826" s="3">
        <v>635.90072226735379</v>
      </c>
      <c r="G826" s="4">
        <v>0.27065273201088846</v>
      </c>
    </row>
    <row r="827" spans="5:7" x14ac:dyDescent="0.35">
      <c r="E827">
        <v>802</v>
      </c>
      <c r="F827" s="3">
        <v>522.07520403132708</v>
      </c>
      <c r="G827" s="4">
        <v>0.25173101638521556</v>
      </c>
    </row>
    <row r="828" spans="5:7" x14ac:dyDescent="0.35">
      <c r="E828">
        <v>803</v>
      </c>
      <c r="F828" s="3">
        <v>583.82308165450581</v>
      </c>
      <c r="G828" s="4">
        <v>0.25869665236362049</v>
      </c>
    </row>
    <row r="829" spans="5:7" x14ac:dyDescent="0.35">
      <c r="E829">
        <v>804</v>
      </c>
      <c r="F829" s="3">
        <v>385.99625123976853</v>
      </c>
      <c r="G829" s="4">
        <v>0.20385612761787142</v>
      </c>
    </row>
    <row r="830" spans="5:7" x14ac:dyDescent="0.35">
      <c r="E830">
        <v>805</v>
      </c>
      <c r="F830" s="3">
        <v>307.9901736626498</v>
      </c>
      <c r="G830" s="4">
        <v>0.18328089697240912</v>
      </c>
    </row>
    <row r="831" spans="5:7" x14ac:dyDescent="0.35">
      <c r="E831">
        <v>806</v>
      </c>
      <c r="F831" s="3">
        <v>473.61581639087626</v>
      </c>
      <c r="G831" s="4">
        <v>0.23131387176157658</v>
      </c>
    </row>
    <row r="832" spans="5:7" x14ac:dyDescent="0.35">
      <c r="E832">
        <v>807</v>
      </c>
      <c r="F832" s="3">
        <v>448.67375593317365</v>
      </c>
      <c r="G832" s="4">
        <v>0.21912578662745674</v>
      </c>
    </row>
    <row r="833" spans="5:7" x14ac:dyDescent="0.35">
      <c r="E833">
        <v>808</v>
      </c>
      <c r="F833" s="3">
        <v>427.79722439469765</v>
      </c>
      <c r="G833" s="4">
        <v>0.21550160681355535</v>
      </c>
    </row>
    <row r="834" spans="5:7" x14ac:dyDescent="0.35">
      <c r="E834">
        <v>809</v>
      </c>
      <c r="F834" s="3">
        <v>681.85767825927292</v>
      </c>
      <c r="G834" s="4">
        <v>0.31170086287503485</v>
      </c>
    </row>
    <row r="835" spans="5:7" x14ac:dyDescent="0.35">
      <c r="E835">
        <v>810</v>
      </c>
      <c r="F835" s="3">
        <v>504.04274826170763</v>
      </c>
      <c r="G835" s="4">
        <v>0.24930057435764308</v>
      </c>
    </row>
    <row r="836" spans="5:7" x14ac:dyDescent="0.35">
      <c r="E836">
        <v>811</v>
      </c>
      <c r="F836" s="3">
        <v>579.30835237161909</v>
      </c>
      <c r="G836" s="4">
        <v>0.25407404900704877</v>
      </c>
    </row>
    <row r="837" spans="5:7" x14ac:dyDescent="0.35">
      <c r="E837">
        <v>812</v>
      </c>
      <c r="F837" s="3">
        <v>420.13833850020114</v>
      </c>
      <c r="G837" s="4">
        <v>0.21793992089554171</v>
      </c>
    </row>
    <row r="838" spans="5:7" x14ac:dyDescent="0.35">
      <c r="E838">
        <v>813</v>
      </c>
      <c r="F838" s="3">
        <v>536.6943348081893</v>
      </c>
      <c r="G838" s="4">
        <v>0.23879630154827769</v>
      </c>
    </row>
    <row r="839" spans="5:7" x14ac:dyDescent="0.35">
      <c r="E839">
        <v>814</v>
      </c>
      <c r="F839" s="3">
        <v>469.67294868333579</v>
      </c>
      <c r="G839" s="4">
        <v>0.22568328974418805</v>
      </c>
    </row>
    <row r="840" spans="5:7" x14ac:dyDescent="0.35">
      <c r="E840">
        <v>815</v>
      </c>
      <c r="F840" s="3">
        <v>532.8634768519812</v>
      </c>
      <c r="G840" s="4">
        <v>0.24646194080057371</v>
      </c>
    </row>
    <row r="841" spans="5:7" x14ac:dyDescent="0.35">
      <c r="E841">
        <v>816</v>
      </c>
      <c r="F841" s="3">
        <v>473.65358971065666</v>
      </c>
      <c r="G841" s="4">
        <v>0.24931631734310633</v>
      </c>
    </row>
    <row r="842" spans="5:7" x14ac:dyDescent="0.35">
      <c r="E842">
        <v>817</v>
      </c>
      <c r="F842" s="3">
        <v>372.3254004089049</v>
      </c>
      <c r="G842" s="4">
        <v>0.21173490415618956</v>
      </c>
    </row>
    <row r="843" spans="5:7" x14ac:dyDescent="0.35">
      <c r="E843">
        <v>818</v>
      </c>
      <c r="F843" s="3">
        <v>377.50539707492226</v>
      </c>
      <c r="G843" s="4">
        <v>0.20050834665225126</v>
      </c>
    </row>
    <row r="844" spans="5:7" x14ac:dyDescent="0.35">
      <c r="E844">
        <v>819</v>
      </c>
      <c r="F844" s="3">
        <v>512.57259333549723</v>
      </c>
      <c r="G844" s="4">
        <v>0.22798139957087815</v>
      </c>
    </row>
    <row r="845" spans="5:7" x14ac:dyDescent="0.35">
      <c r="E845">
        <v>820</v>
      </c>
      <c r="F845" s="3">
        <v>384.8597220662482</v>
      </c>
      <c r="G845" s="4">
        <v>0.20505002736622568</v>
      </c>
    </row>
    <row r="846" spans="5:7" x14ac:dyDescent="0.35">
      <c r="E846">
        <v>821</v>
      </c>
      <c r="F846" s="3">
        <v>397.63932933344381</v>
      </c>
      <c r="G846" s="4">
        <v>0.21388134632324163</v>
      </c>
    </row>
    <row r="847" spans="5:7" x14ac:dyDescent="0.35">
      <c r="E847">
        <v>822</v>
      </c>
      <c r="F847" s="3">
        <v>338.78752965690137</v>
      </c>
      <c r="G847" s="4">
        <v>0.19534569532329393</v>
      </c>
    </row>
    <row r="848" spans="5:7" x14ac:dyDescent="0.35">
      <c r="E848">
        <v>823</v>
      </c>
      <c r="F848" s="3">
        <v>405.66111204493927</v>
      </c>
      <c r="G848" s="4">
        <v>0.21677392875683155</v>
      </c>
    </row>
    <row r="849" spans="5:7" x14ac:dyDescent="0.35">
      <c r="E849">
        <v>824</v>
      </c>
      <c r="F849" s="3">
        <v>168.54369759463179</v>
      </c>
      <c r="G849" s="4">
        <v>0.15103669883570237</v>
      </c>
    </row>
    <row r="850" spans="5:7" x14ac:dyDescent="0.35">
      <c r="E850">
        <v>825</v>
      </c>
      <c r="F850" s="3">
        <v>496.37650830531265</v>
      </c>
      <c r="G850" s="4">
        <v>0.23211103756292517</v>
      </c>
    </row>
    <row r="851" spans="5:7" x14ac:dyDescent="0.35">
      <c r="E851">
        <v>826</v>
      </c>
      <c r="F851" s="3">
        <v>581.38613864280887</v>
      </c>
      <c r="G851" s="4">
        <v>0.26617494420629972</v>
      </c>
    </row>
    <row r="852" spans="5:7" x14ac:dyDescent="0.35">
      <c r="E852">
        <v>827</v>
      </c>
      <c r="F852" s="3">
        <v>250.47113303891558</v>
      </c>
      <c r="G852" s="4">
        <v>0.17756528905356816</v>
      </c>
    </row>
    <row r="853" spans="5:7" x14ac:dyDescent="0.35">
      <c r="E853">
        <v>828</v>
      </c>
      <c r="F853" s="3">
        <v>452.40328205885658</v>
      </c>
      <c r="G853" s="4">
        <v>0.22849262934177461</v>
      </c>
    </row>
    <row r="854" spans="5:7" x14ac:dyDescent="0.35">
      <c r="E854">
        <v>829</v>
      </c>
      <c r="F854" s="3">
        <v>402.09734188697007</v>
      </c>
      <c r="G854" s="4">
        <v>0.21443632958978576</v>
      </c>
    </row>
    <row r="855" spans="5:7" x14ac:dyDescent="0.35">
      <c r="E855">
        <v>830</v>
      </c>
      <c r="F855" s="3">
        <v>579.91155291882433</v>
      </c>
      <c r="G855" s="4">
        <v>0.25777246152310362</v>
      </c>
    </row>
    <row r="856" spans="5:7" x14ac:dyDescent="0.35">
      <c r="E856">
        <v>831</v>
      </c>
      <c r="F856" s="3">
        <v>563.51610982789475</v>
      </c>
      <c r="G856" s="4">
        <v>0.25883792166379327</v>
      </c>
    </row>
    <row r="857" spans="5:7" x14ac:dyDescent="0.35">
      <c r="E857">
        <v>832</v>
      </c>
      <c r="F857" s="3">
        <v>636.63366516307133</v>
      </c>
      <c r="G857" s="4">
        <v>0.27747018088743558</v>
      </c>
    </row>
    <row r="858" spans="5:7" x14ac:dyDescent="0.35">
      <c r="E858">
        <v>833</v>
      </c>
      <c r="F858" s="3">
        <v>370.95699767540077</v>
      </c>
      <c r="G858" s="4">
        <v>0.19771181517352066</v>
      </c>
    </row>
    <row r="859" spans="5:7" x14ac:dyDescent="0.35">
      <c r="E859">
        <v>834</v>
      </c>
      <c r="F859" s="3">
        <v>558.6136304082147</v>
      </c>
      <c r="G859" s="4">
        <v>0.25971678658626374</v>
      </c>
    </row>
    <row r="860" spans="5:7" x14ac:dyDescent="0.35">
      <c r="E860">
        <v>835</v>
      </c>
      <c r="F860" s="3">
        <v>495.72466966293064</v>
      </c>
      <c r="G860" s="4">
        <v>0.22915033934027318</v>
      </c>
    </row>
    <row r="861" spans="5:7" x14ac:dyDescent="0.35">
      <c r="E861">
        <v>836</v>
      </c>
      <c r="F861" s="3">
        <v>435.44508186842472</v>
      </c>
      <c r="G861" s="4">
        <v>0.22493697700298587</v>
      </c>
    </row>
    <row r="862" spans="5:7" x14ac:dyDescent="0.35">
      <c r="E862">
        <v>837</v>
      </c>
      <c r="F862" s="3">
        <v>561.85948085983614</v>
      </c>
      <c r="G862" s="4">
        <v>0.25411440175673095</v>
      </c>
    </row>
    <row r="863" spans="5:7" x14ac:dyDescent="0.35">
      <c r="E863">
        <v>838</v>
      </c>
      <c r="F863" s="3">
        <v>508.93968429820666</v>
      </c>
      <c r="G863" s="4">
        <v>0.23089393897211918</v>
      </c>
    </row>
    <row r="864" spans="5:7" x14ac:dyDescent="0.35">
      <c r="E864">
        <v>839</v>
      </c>
      <c r="F864" s="3">
        <v>354.03522922316665</v>
      </c>
      <c r="G864" s="4">
        <v>0.19382562387172708</v>
      </c>
    </row>
    <row r="865" spans="5:7" x14ac:dyDescent="0.35">
      <c r="E865">
        <v>840</v>
      </c>
      <c r="F865" s="3">
        <v>490.67868977803664</v>
      </c>
      <c r="G865" s="4">
        <v>0.24466631307194886</v>
      </c>
    </row>
    <row r="866" spans="5:7" x14ac:dyDescent="0.35">
      <c r="E866">
        <v>841</v>
      </c>
      <c r="F866" s="3">
        <v>532.7265344487621</v>
      </c>
      <c r="G866" s="4">
        <v>0.2502160220070031</v>
      </c>
    </row>
    <row r="867" spans="5:7" x14ac:dyDescent="0.35">
      <c r="E867">
        <v>842</v>
      </c>
      <c r="F867" s="3">
        <v>436.71597149049785</v>
      </c>
      <c r="G867" s="4">
        <v>0.22218485591208448</v>
      </c>
    </row>
    <row r="868" spans="5:7" x14ac:dyDescent="0.35">
      <c r="E868">
        <v>843</v>
      </c>
      <c r="F868" s="3">
        <v>542.8716220693841</v>
      </c>
      <c r="G868" s="4">
        <v>0.26219996062082385</v>
      </c>
    </row>
    <row r="869" spans="5:7" x14ac:dyDescent="0.35">
      <c r="E869">
        <v>844</v>
      </c>
      <c r="F869" s="3">
        <v>510.32945454600053</v>
      </c>
      <c r="G869" s="4">
        <v>0.25148253144955746</v>
      </c>
    </row>
    <row r="870" spans="5:7" x14ac:dyDescent="0.35">
      <c r="E870">
        <v>845</v>
      </c>
      <c r="F870" s="3">
        <v>523.34203181400517</v>
      </c>
      <c r="G870" s="4">
        <v>0.24831612027742334</v>
      </c>
    </row>
    <row r="871" spans="5:7" x14ac:dyDescent="0.35">
      <c r="E871">
        <v>846</v>
      </c>
      <c r="F871" s="3">
        <v>487.43184044721647</v>
      </c>
      <c r="G871" s="4">
        <v>0.24552341063520866</v>
      </c>
    </row>
    <row r="872" spans="5:7" x14ac:dyDescent="0.35">
      <c r="E872">
        <v>847</v>
      </c>
      <c r="F872" s="3">
        <v>414.10611907653902</v>
      </c>
      <c r="G872" s="4">
        <v>0.21142584632993988</v>
      </c>
    </row>
    <row r="873" spans="5:7" x14ac:dyDescent="0.35">
      <c r="E873">
        <v>848</v>
      </c>
      <c r="F873" s="3">
        <v>376.14283717543253</v>
      </c>
      <c r="G873" s="4">
        <v>0.20153077357313465</v>
      </c>
    </row>
    <row r="874" spans="5:7" x14ac:dyDescent="0.35">
      <c r="E874">
        <v>849</v>
      </c>
      <c r="F874" s="3">
        <v>476.77978691039471</v>
      </c>
      <c r="G874" s="4">
        <v>0.22858743223428291</v>
      </c>
    </row>
    <row r="875" spans="5:7" x14ac:dyDescent="0.35">
      <c r="E875">
        <v>850</v>
      </c>
      <c r="F875" s="3">
        <v>343.95734166662282</v>
      </c>
      <c r="G875" s="4">
        <v>0.19419564221290386</v>
      </c>
    </row>
    <row r="876" spans="5:7" x14ac:dyDescent="0.35">
      <c r="E876">
        <v>851</v>
      </c>
      <c r="F876" s="3">
        <v>343.27297565223193</v>
      </c>
      <c r="G876" s="4">
        <v>0.19342200193689241</v>
      </c>
    </row>
    <row r="877" spans="5:7" x14ac:dyDescent="0.35">
      <c r="E877">
        <v>852</v>
      </c>
      <c r="F877" s="3">
        <v>512.36628100327607</v>
      </c>
      <c r="G877" s="4">
        <v>0.24499564101545523</v>
      </c>
    </row>
    <row r="878" spans="5:7" x14ac:dyDescent="0.35">
      <c r="E878">
        <v>853</v>
      </c>
      <c r="F878" s="3">
        <v>367.55400780530886</v>
      </c>
      <c r="G878" s="4">
        <v>0.20275862100326836</v>
      </c>
    </row>
    <row r="879" spans="5:7" x14ac:dyDescent="0.35">
      <c r="E879">
        <v>854</v>
      </c>
      <c r="F879" s="3">
        <v>541.34606063561364</v>
      </c>
      <c r="G879" s="4">
        <v>0.24324289468113491</v>
      </c>
    </row>
    <row r="880" spans="5:7" x14ac:dyDescent="0.35">
      <c r="E880">
        <v>855</v>
      </c>
      <c r="F880" s="3">
        <v>384.09501360449258</v>
      </c>
      <c r="G880" s="4">
        <v>0.20707656783179051</v>
      </c>
    </row>
    <row r="881" spans="5:7" x14ac:dyDescent="0.35">
      <c r="E881">
        <v>856</v>
      </c>
      <c r="F881" s="3">
        <v>340.30332329443331</v>
      </c>
      <c r="G881" s="4">
        <v>0.19620456893150839</v>
      </c>
    </row>
    <row r="882" spans="5:7" x14ac:dyDescent="0.35">
      <c r="E882">
        <v>857</v>
      </c>
      <c r="F882" s="3">
        <v>544.06510895730457</v>
      </c>
      <c r="G882" s="4">
        <v>0.24318810875812447</v>
      </c>
    </row>
    <row r="883" spans="5:7" x14ac:dyDescent="0.35">
      <c r="E883">
        <v>858</v>
      </c>
      <c r="F883" s="3">
        <v>561.6693864194815</v>
      </c>
      <c r="G883" s="4">
        <v>0.26455765634906347</v>
      </c>
    </row>
    <row r="884" spans="5:7" x14ac:dyDescent="0.35">
      <c r="E884">
        <v>859</v>
      </c>
      <c r="F884" s="3">
        <v>464.11320918934894</v>
      </c>
      <c r="G884" s="4">
        <v>0.22850515218537293</v>
      </c>
    </row>
    <row r="885" spans="5:7" x14ac:dyDescent="0.35">
      <c r="E885">
        <v>860</v>
      </c>
      <c r="F885" s="3">
        <v>508.4482032643798</v>
      </c>
      <c r="G885" s="4">
        <v>0.26758903027032099</v>
      </c>
    </row>
    <row r="886" spans="5:7" x14ac:dyDescent="0.35">
      <c r="E886">
        <v>861</v>
      </c>
      <c r="F886" s="3">
        <v>471.32084719994282</v>
      </c>
      <c r="G886" s="4">
        <v>0.22566175514654674</v>
      </c>
    </row>
    <row r="887" spans="5:7" x14ac:dyDescent="0.35">
      <c r="E887">
        <v>862</v>
      </c>
      <c r="F887" s="3">
        <v>581.9875072757161</v>
      </c>
      <c r="G887" s="4">
        <v>0.26209253511759201</v>
      </c>
    </row>
    <row r="888" spans="5:7" x14ac:dyDescent="0.35">
      <c r="E888">
        <v>863</v>
      </c>
      <c r="F888" s="3">
        <v>553.14828431943397</v>
      </c>
      <c r="G888" s="4">
        <v>0.2539672543037137</v>
      </c>
    </row>
    <row r="889" spans="5:7" x14ac:dyDescent="0.35">
      <c r="E889">
        <v>864</v>
      </c>
      <c r="F889" s="3">
        <v>544.64840127166622</v>
      </c>
      <c r="G889" s="4">
        <v>0.26453780746645017</v>
      </c>
    </row>
    <row r="890" spans="5:7" x14ac:dyDescent="0.35">
      <c r="E890">
        <v>865</v>
      </c>
      <c r="F890" s="3">
        <v>557.32289876303116</v>
      </c>
      <c r="G890" s="4">
        <v>0.26690805279917673</v>
      </c>
    </row>
    <row r="891" spans="5:7" x14ac:dyDescent="0.35">
      <c r="E891">
        <v>866</v>
      </c>
      <c r="F891" s="3">
        <v>483.52033302038444</v>
      </c>
      <c r="G891" s="4">
        <v>0.22658509231089985</v>
      </c>
    </row>
    <row r="892" spans="5:7" x14ac:dyDescent="0.35">
      <c r="E892">
        <v>867</v>
      </c>
      <c r="F892" s="3">
        <v>307.07962967894377</v>
      </c>
      <c r="G892" s="4">
        <v>0.20545181099066512</v>
      </c>
    </row>
    <row r="893" spans="5:7" x14ac:dyDescent="0.35">
      <c r="E893">
        <v>868</v>
      </c>
      <c r="F893" s="3">
        <v>474.97707237216605</v>
      </c>
      <c r="G893" s="4">
        <v>0.23800956753909541</v>
      </c>
    </row>
    <row r="894" spans="5:7" x14ac:dyDescent="0.35">
      <c r="E894">
        <v>869</v>
      </c>
      <c r="F894" s="3">
        <v>456.4485112632201</v>
      </c>
      <c r="G894" s="4">
        <v>0.22116079744233152</v>
      </c>
    </row>
    <row r="895" spans="5:7" x14ac:dyDescent="0.35">
      <c r="E895">
        <v>870</v>
      </c>
      <c r="F895" s="3">
        <v>240.46152666442833</v>
      </c>
      <c r="G895" s="4">
        <v>0.16943314862022363</v>
      </c>
    </row>
    <row r="896" spans="5:7" x14ac:dyDescent="0.35">
      <c r="E896">
        <v>871</v>
      </c>
      <c r="F896" s="3">
        <v>344.52301801382691</v>
      </c>
      <c r="G896" s="4">
        <v>0.19316871088283905</v>
      </c>
    </row>
    <row r="897" spans="5:7" x14ac:dyDescent="0.35">
      <c r="E897">
        <v>872</v>
      </c>
      <c r="F897" s="3">
        <v>476.14788118939646</v>
      </c>
      <c r="G897" s="4">
        <v>0.22994380889055521</v>
      </c>
    </row>
    <row r="898" spans="5:7" x14ac:dyDescent="0.35">
      <c r="E898">
        <v>873</v>
      </c>
      <c r="F898" s="3">
        <v>505.96498771861297</v>
      </c>
      <c r="G898" s="4">
        <v>0.23902651111994766</v>
      </c>
    </row>
    <row r="899" spans="5:7" x14ac:dyDescent="0.35">
      <c r="E899">
        <v>874</v>
      </c>
      <c r="F899" s="3">
        <v>422.58741913375138</v>
      </c>
      <c r="G899" s="4">
        <v>0.23125493042406764</v>
      </c>
    </row>
    <row r="900" spans="5:7" x14ac:dyDescent="0.35">
      <c r="E900">
        <v>875</v>
      </c>
      <c r="F900" s="3">
        <v>369.58306389465838</v>
      </c>
      <c r="G900" s="4">
        <v>0.20953706651953818</v>
      </c>
    </row>
    <row r="901" spans="5:7" x14ac:dyDescent="0.35">
      <c r="E901">
        <v>876</v>
      </c>
      <c r="F901" s="3">
        <v>432.31590868593071</v>
      </c>
      <c r="G901" s="4">
        <v>0.22108991556838453</v>
      </c>
    </row>
    <row r="902" spans="5:7" x14ac:dyDescent="0.35">
      <c r="E902">
        <v>877</v>
      </c>
      <c r="F902" s="3">
        <v>426.08647552354864</v>
      </c>
      <c r="G902" s="4">
        <v>0.2105829021827228</v>
      </c>
    </row>
    <row r="903" spans="5:7" x14ac:dyDescent="0.35">
      <c r="E903">
        <v>878</v>
      </c>
      <c r="F903" s="3">
        <v>713.33807565709367</v>
      </c>
      <c r="G903" s="4">
        <v>0.30108166693266791</v>
      </c>
    </row>
    <row r="904" spans="5:7" x14ac:dyDescent="0.35">
      <c r="E904">
        <v>879</v>
      </c>
      <c r="F904" s="3">
        <v>373.15579019193092</v>
      </c>
      <c r="G904" s="4">
        <v>0.20847195805499807</v>
      </c>
    </row>
    <row r="905" spans="5:7" x14ac:dyDescent="0.35">
      <c r="E905">
        <v>880</v>
      </c>
      <c r="F905" s="3">
        <v>438.60462243586335</v>
      </c>
      <c r="G905" s="4">
        <v>0.2297452910502078</v>
      </c>
    </row>
    <row r="906" spans="5:7" x14ac:dyDescent="0.35">
      <c r="E906">
        <v>881</v>
      </c>
      <c r="F906" s="3">
        <v>347.46467715978838</v>
      </c>
      <c r="G906" s="4">
        <v>0.19430268441475129</v>
      </c>
    </row>
    <row r="907" spans="5:7" x14ac:dyDescent="0.35">
      <c r="E907">
        <v>882</v>
      </c>
      <c r="F907" s="3">
        <v>325.34892139179487</v>
      </c>
      <c r="G907" s="4">
        <v>0.18562745505566025</v>
      </c>
    </row>
    <row r="908" spans="5:7" x14ac:dyDescent="0.35">
      <c r="E908">
        <v>883</v>
      </c>
      <c r="F908" s="3">
        <v>572.28533190556846</v>
      </c>
      <c r="G908" s="4">
        <v>0.27173045427730935</v>
      </c>
    </row>
    <row r="909" spans="5:7" x14ac:dyDescent="0.35">
      <c r="E909">
        <v>884</v>
      </c>
      <c r="F909" s="3">
        <v>415.73644966844086</v>
      </c>
      <c r="G909" s="4">
        <v>0.20338527508127302</v>
      </c>
    </row>
    <row r="910" spans="5:7" x14ac:dyDescent="0.35">
      <c r="E910">
        <v>885</v>
      </c>
      <c r="F910" s="3">
        <v>407.71928804203708</v>
      </c>
      <c r="G910" s="4">
        <v>0.19820951518124663</v>
      </c>
    </row>
    <row r="911" spans="5:7" x14ac:dyDescent="0.35">
      <c r="E911">
        <v>886</v>
      </c>
      <c r="F911" s="3">
        <v>327.62448009199898</v>
      </c>
      <c r="G911" s="4">
        <v>0.19236003012202607</v>
      </c>
    </row>
    <row r="912" spans="5:7" x14ac:dyDescent="0.35">
      <c r="E912">
        <v>887</v>
      </c>
      <c r="F912" s="3">
        <v>398.7905808441933</v>
      </c>
      <c r="G912" s="4">
        <v>0.20830284547500511</v>
      </c>
    </row>
    <row r="913" spans="5:7" x14ac:dyDescent="0.35">
      <c r="E913">
        <v>888</v>
      </c>
      <c r="F913" s="3">
        <v>540.89578208857597</v>
      </c>
      <c r="G913" s="4">
        <v>0.25676560496806244</v>
      </c>
    </row>
    <row r="914" spans="5:7" x14ac:dyDescent="0.35">
      <c r="E914">
        <v>889</v>
      </c>
      <c r="F914" s="3">
        <v>484.45406397030729</v>
      </c>
      <c r="G914" s="4">
        <v>0.23545685510716918</v>
      </c>
    </row>
    <row r="915" spans="5:7" x14ac:dyDescent="0.35">
      <c r="E915">
        <v>890</v>
      </c>
      <c r="F915" s="3">
        <v>254.53452764262249</v>
      </c>
      <c r="G915" s="4">
        <v>0.1662636705839402</v>
      </c>
    </row>
    <row r="916" spans="5:7" x14ac:dyDescent="0.35">
      <c r="E916">
        <v>891</v>
      </c>
      <c r="F916" s="3">
        <v>324.33488043467696</v>
      </c>
      <c r="G916" s="4">
        <v>0.18940144536140546</v>
      </c>
    </row>
    <row r="917" spans="5:7" x14ac:dyDescent="0.35">
      <c r="E917">
        <v>892</v>
      </c>
      <c r="F917" s="3">
        <v>332.2254929289727</v>
      </c>
      <c r="G917" s="4">
        <v>0.1905091523667064</v>
      </c>
    </row>
    <row r="918" spans="5:7" x14ac:dyDescent="0.35">
      <c r="E918">
        <v>893</v>
      </c>
      <c r="F918" s="3">
        <v>447.34561242412019</v>
      </c>
      <c r="G918" s="4">
        <v>0.21699924300173801</v>
      </c>
    </row>
    <row r="919" spans="5:7" x14ac:dyDescent="0.35">
      <c r="E919">
        <v>894</v>
      </c>
      <c r="F919" s="3">
        <v>287.59159058906812</v>
      </c>
      <c r="G919" s="4">
        <v>0.17290027051488588</v>
      </c>
    </row>
    <row r="920" spans="5:7" x14ac:dyDescent="0.35">
      <c r="E920">
        <v>895</v>
      </c>
      <c r="F920" s="3">
        <v>393.29438826830483</v>
      </c>
      <c r="G920" s="4">
        <v>0.2105974228051517</v>
      </c>
    </row>
    <row r="921" spans="5:7" x14ac:dyDescent="0.35">
      <c r="E921">
        <v>896</v>
      </c>
      <c r="F921" s="3">
        <v>457.84933247339404</v>
      </c>
      <c r="G921" s="4">
        <v>0.22823423944374799</v>
      </c>
    </row>
    <row r="922" spans="5:7" x14ac:dyDescent="0.35">
      <c r="E922">
        <v>897</v>
      </c>
      <c r="F922" s="3">
        <v>500.72620672290077</v>
      </c>
      <c r="G922" s="4">
        <v>0.24645928968673902</v>
      </c>
    </row>
    <row r="923" spans="5:7" x14ac:dyDescent="0.35">
      <c r="E923">
        <v>898</v>
      </c>
      <c r="F923" s="3">
        <v>297.341389196097</v>
      </c>
      <c r="G923" s="4">
        <v>0.1851158162230937</v>
      </c>
    </row>
    <row r="924" spans="5:7" x14ac:dyDescent="0.35">
      <c r="E924">
        <v>899</v>
      </c>
      <c r="F924" s="3">
        <v>311.39740780152306</v>
      </c>
      <c r="G924" s="4">
        <v>0.18533891179135886</v>
      </c>
    </row>
    <row r="925" spans="5:7" x14ac:dyDescent="0.35">
      <c r="E925">
        <v>900</v>
      </c>
      <c r="F925" s="3">
        <v>275.42241436576569</v>
      </c>
      <c r="G925" s="4">
        <v>0.17372780473645566</v>
      </c>
    </row>
    <row r="926" spans="5:7" x14ac:dyDescent="0.35">
      <c r="E926">
        <v>901</v>
      </c>
      <c r="F926" s="3">
        <v>294.60543479545936</v>
      </c>
      <c r="G926" s="4">
        <v>0.18823944121447167</v>
      </c>
    </row>
    <row r="927" spans="5:7" x14ac:dyDescent="0.35">
      <c r="E927">
        <v>902</v>
      </c>
      <c r="F927" s="3">
        <v>379.96894704881811</v>
      </c>
      <c r="G927" s="4">
        <v>0.19630800136452997</v>
      </c>
    </row>
    <row r="928" spans="5:7" x14ac:dyDescent="0.35">
      <c r="E928">
        <v>903</v>
      </c>
      <c r="F928" s="3">
        <v>303.21353408006917</v>
      </c>
      <c r="G928" s="4">
        <v>0.19868413277335373</v>
      </c>
    </row>
    <row r="929" spans="5:7" x14ac:dyDescent="0.35">
      <c r="E929">
        <v>904</v>
      </c>
      <c r="F929" s="3">
        <v>452.94042933605169</v>
      </c>
      <c r="G929" s="4">
        <v>0.22776104062269509</v>
      </c>
    </row>
    <row r="930" spans="5:7" x14ac:dyDescent="0.35">
      <c r="E930">
        <v>905</v>
      </c>
      <c r="F930" s="3">
        <v>313.24506994758349</v>
      </c>
      <c r="G930" s="4">
        <v>0.18384311361418249</v>
      </c>
    </row>
    <row r="931" spans="5:7" x14ac:dyDescent="0.35">
      <c r="E931">
        <v>906</v>
      </c>
      <c r="F931" s="3">
        <v>460.47072334084578</v>
      </c>
      <c r="G931" s="4">
        <v>0.22302434703908824</v>
      </c>
    </row>
    <row r="932" spans="5:7" x14ac:dyDescent="0.35">
      <c r="E932">
        <v>907</v>
      </c>
      <c r="F932" s="3">
        <v>365.94273818544548</v>
      </c>
      <c r="G932" s="4">
        <v>0.21377636185738247</v>
      </c>
    </row>
    <row r="933" spans="5:7" x14ac:dyDescent="0.35">
      <c r="E933">
        <v>908</v>
      </c>
      <c r="F933" s="3">
        <v>210.07476946586803</v>
      </c>
      <c r="G933" s="4">
        <v>0.15472180170835914</v>
      </c>
    </row>
    <row r="934" spans="5:7" x14ac:dyDescent="0.35">
      <c r="E934">
        <v>909</v>
      </c>
      <c r="F934" s="3">
        <v>538.16411135595172</v>
      </c>
      <c r="G934" s="4">
        <v>0.25438971260791887</v>
      </c>
    </row>
    <row r="935" spans="5:7" x14ac:dyDescent="0.35">
      <c r="E935">
        <v>910</v>
      </c>
      <c r="F935" s="3">
        <v>310.56339525965632</v>
      </c>
      <c r="G935" s="4">
        <v>0.18818181150667779</v>
      </c>
    </row>
    <row r="936" spans="5:7" x14ac:dyDescent="0.35">
      <c r="E936">
        <v>911</v>
      </c>
      <c r="F936" s="3">
        <v>439.83247440963373</v>
      </c>
      <c r="G936" s="4">
        <v>0.21232306659333866</v>
      </c>
    </row>
    <row r="937" spans="5:7" x14ac:dyDescent="0.35">
      <c r="E937">
        <v>912</v>
      </c>
      <c r="F937" s="3">
        <v>552.66530030941476</v>
      </c>
      <c r="G937" s="4">
        <v>0.25574339115454814</v>
      </c>
    </row>
    <row r="938" spans="5:7" x14ac:dyDescent="0.35">
      <c r="E938">
        <v>913</v>
      </c>
      <c r="F938" s="3">
        <v>597.13277205975351</v>
      </c>
      <c r="G938" s="4">
        <v>0.26257567268779902</v>
      </c>
    </row>
    <row r="939" spans="5:7" x14ac:dyDescent="0.35">
      <c r="E939">
        <v>914</v>
      </c>
      <c r="F939" s="3">
        <v>296.24976722913789</v>
      </c>
      <c r="G939" s="4">
        <v>0.18289523163754406</v>
      </c>
    </row>
    <row r="940" spans="5:7" x14ac:dyDescent="0.35">
      <c r="E940">
        <v>915</v>
      </c>
      <c r="F940" s="3">
        <v>324.19351844688867</v>
      </c>
      <c r="G940" s="4">
        <v>0.18002962126629529</v>
      </c>
    </row>
    <row r="941" spans="5:7" x14ac:dyDescent="0.35">
      <c r="E941">
        <v>916</v>
      </c>
      <c r="F941" s="3">
        <v>383.36750946627399</v>
      </c>
      <c r="G941" s="4">
        <v>0.2067509075815801</v>
      </c>
    </row>
    <row r="942" spans="5:7" x14ac:dyDescent="0.35">
      <c r="E942">
        <v>917</v>
      </c>
      <c r="F942" s="3">
        <v>261.29299055050865</v>
      </c>
      <c r="G942" s="4">
        <v>0.17339538651301223</v>
      </c>
    </row>
    <row r="943" spans="5:7" x14ac:dyDescent="0.35">
      <c r="E943">
        <v>918</v>
      </c>
      <c r="F943" s="3">
        <v>404.76367929579396</v>
      </c>
      <c r="G943" s="4">
        <v>0.21600448805413786</v>
      </c>
    </row>
    <row r="944" spans="5:7" x14ac:dyDescent="0.35">
      <c r="E944">
        <v>919</v>
      </c>
      <c r="F944" s="3">
        <v>562.11298416800651</v>
      </c>
      <c r="G944" s="4">
        <v>0.24415322191593569</v>
      </c>
    </row>
    <row r="945" spans="5:7" x14ac:dyDescent="0.35">
      <c r="E945">
        <v>920</v>
      </c>
      <c r="F945" s="3">
        <v>291.14674183013017</v>
      </c>
      <c r="G945" s="4">
        <v>0.18235245540526757</v>
      </c>
    </row>
    <row r="946" spans="5:7" x14ac:dyDescent="0.35">
      <c r="E946">
        <v>921</v>
      </c>
      <c r="F946" s="3">
        <v>420.44496469183059</v>
      </c>
      <c r="G946" s="4">
        <v>0.21263096682493443</v>
      </c>
    </row>
    <row r="947" spans="5:7" x14ac:dyDescent="0.35">
      <c r="E947">
        <v>922</v>
      </c>
      <c r="F947" s="3">
        <v>563.10435874973405</v>
      </c>
      <c r="G947" s="4">
        <v>0.26292668519485463</v>
      </c>
    </row>
    <row r="948" spans="5:7" x14ac:dyDescent="0.35">
      <c r="E948">
        <v>923</v>
      </c>
      <c r="F948" s="3">
        <v>390.47988697468531</v>
      </c>
      <c r="G948" s="4">
        <v>0.20540992472634256</v>
      </c>
    </row>
    <row r="949" spans="5:7" x14ac:dyDescent="0.35">
      <c r="E949">
        <v>924</v>
      </c>
      <c r="F949" s="3">
        <v>577.36082773859971</v>
      </c>
      <c r="G949" s="4">
        <v>0.26966246674946093</v>
      </c>
    </row>
    <row r="950" spans="5:7" x14ac:dyDescent="0.35">
      <c r="E950">
        <v>925</v>
      </c>
      <c r="F950" s="3">
        <v>436.272787202676</v>
      </c>
      <c r="G950" s="4">
        <v>0.22731815283750545</v>
      </c>
    </row>
    <row r="951" spans="5:7" x14ac:dyDescent="0.35">
      <c r="E951">
        <v>926</v>
      </c>
      <c r="F951" s="3">
        <v>353.47116185033497</v>
      </c>
      <c r="G951" s="4">
        <v>0.20213388188516057</v>
      </c>
    </row>
    <row r="952" spans="5:7" x14ac:dyDescent="0.35">
      <c r="E952">
        <v>927</v>
      </c>
      <c r="F952" s="3">
        <v>397.58864341927733</v>
      </c>
      <c r="G952" s="4">
        <v>0.21232971104464449</v>
      </c>
    </row>
    <row r="953" spans="5:7" x14ac:dyDescent="0.35">
      <c r="E953">
        <v>928</v>
      </c>
      <c r="F953" s="3">
        <v>318.43039459625379</v>
      </c>
      <c r="G953" s="4">
        <v>0.19512380127834494</v>
      </c>
    </row>
    <row r="954" spans="5:7" x14ac:dyDescent="0.35">
      <c r="E954">
        <v>929</v>
      </c>
      <c r="F954" s="3">
        <v>544.79298469085734</v>
      </c>
      <c r="G954" s="4">
        <v>0.2595665368303155</v>
      </c>
    </row>
    <row r="955" spans="5:7" x14ac:dyDescent="0.35">
      <c r="E955">
        <v>930</v>
      </c>
      <c r="F955" s="3">
        <v>557.39254854546652</v>
      </c>
      <c r="G955" s="4">
        <v>0.2509068724458936</v>
      </c>
    </row>
    <row r="956" spans="5:7" x14ac:dyDescent="0.35">
      <c r="E956">
        <v>931</v>
      </c>
      <c r="F956" s="3">
        <v>283.83878736145243</v>
      </c>
      <c r="G956" s="4">
        <v>0.17547502698676065</v>
      </c>
    </row>
    <row r="957" spans="5:7" x14ac:dyDescent="0.35">
      <c r="E957">
        <v>932</v>
      </c>
      <c r="F957" s="3">
        <v>450.45101631699117</v>
      </c>
      <c r="G957" s="4">
        <v>0.22879828746141984</v>
      </c>
    </row>
    <row r="958" spans="5:7" x14ac:dyDescent="0.35">
      <c r="E958">
        <v>933</v>
      </c>
      <c r="F958" s="3">
        <v>471.99211192307621</v>
      </c>
      <c r="G958" s="4">
        <v>0.23552536584370354</v>
      </c>
    </row>
    <row r="959" spans="5:7" x14ac:dyDescent="0.35">
      <c r="E959">
        <v>934</v>
      </c>
      <c r="F959" s="3">
        <v>225.61717739172173</v>
      </c>
      <c r="G959" s="4">
        <v>0.15817400119199299</v>
      </c>
    </row>
    <row r="960" spans="5:7" x14ac:dyDescent="0.35">
      <c r="E960">
        <v>935</v>
      </c>
      <c r="F960" s="3">
        <v>418.20986290228325</v>
      </c>
      <c r="G960" s="4">
        <v>0.22454381431868109</v>
      </c>
    </row>
    <row r="961" spans="5:7" x14ac:dyDescent="0.35">
      <c r="E961">
        <v>936</v>
      </c>
      <c r="F961" s="3">
        <v>461.68731143444688</v>
      </c>
      <c r="G961" s="4">
        <v>0.22784539080225263</v>
      </c>
    </row>
    <row r="962" spans="5:7" x14ac:dyDescent="0.35">
      <c r="E962">
        <v>937</v>
      </c>
      <c r="F962" s="3">
        <v>343.04531196238122</v>
      </c>
      <c r="G962" s="4">
        <v>0.19881025102659544</v>
      </c>
    </row>
    <row r="963" spans="5:7" x14ac:dyDescent="0.35">
      <c r="E963">
        <v>938</v>
      </c>
      <c r="F963" s="3">
        <v>485.84928579644247</v>
      </c>
      <c r="G963" s="4">
        <v>0.2390347836300053</v>
      </c>
    </row>
    <row r="964" spans="5:7" x14ac:dyDescent="0.35">
      <c r="E964">
        <v>939</v>
      </c>
      <c r="F964" s="3">
        <v>373.88088797966452</v>
      </c>
      <c r="G964" s="4">
        <v>0.20007619541311028</v>
      </c>
    </row>
    <row r="965" spans="5:7" x14ac:dyDescent="0.35">
      <c r="E965">
        <v>940</v>
      </c>
      <c r="F965" s="3">
        <v>249.66577085130018</v>
      </c>
      <c r="G965" s="4">
        <v>0.17011539710845014</v>
      </c>
    </row>
    <row r="966" spans="5:7" x14ac:dyDescent="0.35">
      <c r="E966">
        <v>941</v>
      </c>
      <c r="F966" s="3">
        <v>350.33665558934695</v>
      </c>
      <c r="G966" s="4">
        <v>0.20296305349593124</v>
      </c>
    </row>
    <row r="967" spans="5:7" x14ac:dyDescent="0.35">
      <c r="E967">
        <v>942</v>
      </c>
      <c r="F967" s="3">
        <v>436.27987520412717</v>
      </c>
      <c r="G967" s="4">
        <v>0.22237145066176178</v>
      </c>
    </row>
    <row r="968" spans="5:7" x14ac:dyDescent="0.35">
      <c r="E968">
        <v>943</v>
      </c>
      <c r="F968" s="3">
        <v>348.159072277836</v>
      </c>
      <c r="G968" s="4">
        <v>0.2012968980618921</v>
      </c>
    </row>
    <row r="969" spans="5:7" x14ac:dyDescent="0.35">
      <c r="E969">
        <v>944</v>
      </c>
      <c r="F969" s="3">
        <v>630.45910823034774</v>
      </c>
      <c r="G969" s="4">
        <v>0.26583798735581587</v>
      </c>
    </row>
    <row r="970" spans="5:7" x14ac:dyDescent="0.35">
      <c r="E970">
        <v>945</v>
      </c>
      <c r="F970" s="3">
        <v>543.68919878359748</v>
      </c>
      <c r="G970" s="4">
        <v>0.25338505453382298</v>
      </c>
    </row>
    <row r="971" spans="5:7" x14ac:dyDescent="0.35">
      <c r="E971">
        <v>946</v>
      </c>
      <c r="F971" s="3">
        <v>337.83990137207752</v>
      </c>
      <c r="G971" s="4">
        <v>0.20392355337612078</v>
      </c>
    </row>
    <row r="972" spans="5:7" x14ac:dyDescent="0.35">
      <c r="E972">
        <v>947</v>
      </c>
      <c r="F972" s="3">
        <v>428.85394973850885</v>
      </c>
      <c r="G972" s="4">
        <v>0.21562717645376583</v>
      </c>
    </row>
    <row r="973" spans="5:7" x14ac:dyDescent="0.35">
      <c r="E973">
        <v>948</v>
      </c>
      <c r="F973" s="3">
        <v>388.91427064440018</v>
      </c>
      <c r="G973" s="4">
        <v>0.210367528745381</v>
      </c>
    </row>
    <row r="974" spans="5:7" x14ac:dyDescent="0.35">
      <c r="E974">
        <v>949</v>
      </c>
      <c r="F974" s="3">
        <v>446.62929961918348</v>
      </c>
      <c r="G974" s="4">
        <v>0.223291457644478</v>
      </c>
    </row>
    <row r="975" spans="5:7" x14ac:dyDescent="0.35">
      <c r="E975">
        <v>950</v>
      </c>
      <c r="F975" s="3">
        <v>481.04450633024089</v>
      </c>
      <c r="G975" s="4">
        <v>0.24205752720421625</v>
      </c>
    </row>
    <row r="976" spans="5:7" x14ac:dyDescent="0.35">
      <c r="E976">
        <v>951</v>
      </c>
      <c r="F976" s="3">
        <v>294.4825613719056</v>
      </c>
      <c r="G976" s="4">
        <v>0.17864461720327296</v>
      </c>
    </row>
    <row r="977" spans="5:7" x14ac:dyDescent="0.35">
      <c r="E977">
        <v>952</v>
      </c>
      <c r="F977" s="3">
        <v>352.19363514398128</v>
      </c>
      <c r="G977" s="4">
        <v>0.19231062547026712</v>
      </c>
    </row>
    <row r="978" spans="5:7" x14ac:dyDescent="0.35">
      <c r="E978">
        <v>953</v>
      </c>
      <c r="F978" s="3">
        <v>428.77607481399104</v>
      </c>
      <c r="G978" s="4">
        <v>0.20911439914667906</v>
      </c>
    </row>
    <row r="979" spans="5:7" x14ac:dyDescent="0.35">
      <c r="E979">
        <v>954</v>
      </c>
      <c r="F979" s="3">
        <v>487.73940574102244</v>
      </c>
      <c r="G979" s="4">
        <v>0.23062050679379809</v>
      </c>
    </row>
    <row r="980" spans="5:7" x14ac:dyDescent="0.35">
      <c r="E980">
        <v>955</v>
      </c>
      <c r="F980" s="3">
        <v>567.26923992127467</v>
      </c>
      <c r="G980" s="4">
        <v>0.2704526414980768</v>
      </c>
    </row>
    <row r="981" spans="5:7" x14ac:dyDescent="0.35">
      <c r="E981">
        <v>956</v>
      </c>
      <c r="F981" s="3">
        <v>419.41818760614319</v>
      </c>
      <c r="G981" s="4">
        <v>0.21914622839710618</v>
      </c>
    </row>
    <row r="982" spans="5:7" x14ac:dyDescent="0.35">
      <c r="E982">
        <v>957</v>
      </c>
      <c r="F982" s="3">
        <v>519.43890442406314</v>
      </c>
      <c r="G982" s="4">
        <v>0.24315846677890329</v>
      </c>
    </row>
    <row r="983" spans="5:7" x14ac:dyDescent="0.35">
      <c r="E983">
        <v>958</v>
      </c>
      <c r="F983" s="3">
        <v>326.05215984023675</v>
      </c>
      <c r="G983" s="4">
        <v>0.1952787037123751</v>
      </c>
    </row>
    <row r="984" spans="5:7" x14ac:dyDescent="0.35">
      <c r="E984">
        <v>959</v>
      </c>
      <c r="F984" s="3">
        <v>611.42583796358076</v>
      </c>
      <c r="G984" s="4">
        <v>0.27257024898713378</v>
      </c>
    </row>
    <row r="985" spans="5:7" x14ac:dyDescent="0.35">
      <c r="E985">
        <v>960</v>
      </c>
      <c r="F985" s="3">
        <v>333.62140254502833</v>
      </c>
      <c r="G985" s="4">
        <v>0.18248707263429687</v>
      </c>
    </row>
    <row r="986" spans="5:7" x14ac:dyDescent="0.35">
      <c r="E986">
        <v>961</v>
      </c>
      <c r="F986" s="3">
        <v>481.49467555325737</v>
      </c>
      <c r="G986" s="4">
        <v>0.22484538801060205</v>
      </c>
    </row>
    <row r="987" spans="5:7" x14ac:dyDescent="0.35">
      <c r="E987">
        <v>962</v>
      </c>
      <c r="F987" s="3">
        <v>333.25372908513282</v>
      </c>
      <c r="G987" s="4">
        <v>0.18798603441502881</v>
      </c>
    </row>
    <row r="988" spans="5:7" x14ac:dyDescent="0.35">
      <c r="E988">
        <v>963</v>
      </c>
      <c r="F988" s="3">
        <v>340.45330443288344</v>
      </c>
      <c r="G988" s="4">
        <v>0.19393667044654372</v>
      </c>
    </row>
    <row r="989" spans="5:7" x14ac:dyDescent="0.35">
      <c r="E989">
        <v>964</v>
      </c>
      <c r="F989" s="3">
        <v>403.10876028887219</v>
      </c>
      <c r="G989" s="4">
        <v>0.20253618592725076</v>
      </c>
    </row>
    <row r="990" spans="5:7" x14ac:dyDescent="0.35">
      <c r="E990">
        <v>965</v>
      </c>
      <c r="F990" s="3">
        <v>335.96548746054873</v>
      </c>
      <c r="G990" s="4">
        <v>0.18449441384967158</v>
      </c>
    </row>
    <row r="991" spans="5:7" x14ac:dyDescent="0.35">
      <c r="E991">
        <v>966</v>
      </c>
      <c r="F991" s="3">
        <v>527.12642027155948</v>
      </c>
      <c r="G991" s="4">
        <v>0.2477547629721506</v>
      </c>
    </row>
    <row r="992" spans="5:7" x14ac:dyDescent="0.35">
      <c r="E992">
        <v>967</v>
      </c>
      <c r="F992" s="3">
        <v>452.54479371470461</v>
      </c>
      <c r="G992" s="4">
        <v>0.22160998539037435</v>
      </c>
    </row>
    <row r="993" spans="5:7" x14ac:dyDescent="0.35">
      <c r="E993">
        <v>968</v>
      </c>
      <c r="F993" s="3">
        <v>498.84238096142781</v>
      </c>
      <c r="G993" s="4">
        <v>0.23410654740781656</v>
      </c>
    </row>
    <row r="994" spans="5:7" x14ac:dyDescent="0.35">
      <c r="E994">
        <v>969</v>
      </c>
      <c r="F994" s="3">
        <v>201.9004172001288</v>
      </c>
      <c r="G994" s="4">
        <v>0.1615233812954342</v>
      </c>
    </row>
    <row r="995" spans="5:7" x14ac:dyDescent="0.35">
      <c r="E995">
        <v>970</v>
      </c>
      <c r="F995" s="3">
        <v>472.83395093939589</v>
      </c>
      <c r="G995" s="4">
        <v>0.23127622536988524</v>
      </c>
    </row>
    <row r="996" spans="5:7" x14ac:dyDescent="0.35">
      <c r="E996">
        <v>971</v>
      </c>
      <c r="F996" s="3">
        <v>478.11529556171172</v>
      </c>
      <c r="G996" s="4">
        <v>0.23139928533273735</v>
      </c>
    </row>
    <row r="997" spans="5:7" x14ac:dyDescent="0.35">
      <c r="E997">
        <v>972</v>
      </c>
      <c r="F997" s="3">
        <v>430.09432951204872</v>
      </c>
      <c r="G997" s="4">
        <v>0.2358575758215673</v>
      </c>
    </row>
    <row r="998" spans="5:7" x14ac:dyDescent="0.35">
      <c r="E998">
        <v>973</v>
      </c>
      <c r="F998" s="3">
        <v>436.88943108380886</v>
      </c>
      <c r="G998" s="4">
        <v>0.22955647533269929</v>
      </c>
    </row>
    <row r="999" spans="5:7" x14ac:dyDescent="0.35">
      <c r="E999">
        <v>974</v>
      </c>
      <c r="F999" s="3">
        <v>273.12186096153209</v>
      </c>
      <c r="G999" s="4">
        <v>0.17491581483988661</v>
      </c>
    </row>
    <row r="1000" spans="5:7" x14ac:dyDescent="0.35">
      <c r="E1000">
        <v>975</v>
      </c>
      <c r="F1000" s="3">
        <v>432.7031438425081</v>
      </c>
      <c r="G1000" s="4">
        <v>0.21924542715015294</v>
      </c>
    </row>
    <row r="1001" spans="5:7" x14ac:dyDescent="0.35">
      <c r="E1001">
        <v>976</v>
      </c>
      <c r="F1001" s="3">
        <v>441.02891306590413</v>
      </c>
      <c r="G1001" s="4">
        <v>0.23014137588285144</v>
      </c>
    </row>
    <row r="1002" spans="5:7" x14ac:dyDescent="0.35">
      <c r="E1002">
        <v>977</v>
      </c>
      <c r="F1002" s="3">
        <v>554.66342228355279</v>
      </c>
      <c r="G1002" s="4">
        <v>0.250411906960047</v>
      </c>
    </row>
    <row r="1003" spans="5:7" x14ac:dyDescent="0.35">
      <c r="E1003">
        <v>978</v>
      </c>
      <c r="F1003" s="3">
        <v>509.15746075040965</v>
      </c>
      <c r="G1003" s="4">
        <v>0.23707167775863502</v>
      </c>
    </row>
    <row r="1004" spans="5:7" x14ac:dyDescent="0.35">
      <c r="E1004">
        <v>979</v>
      </c>
      <c r="F1004" s="3">
        <v>268.73139680570625</v>
      </c>
      <c r="G1004" s="4">
        <v>0.17109307950328345</v>
      </c>
    </row>
    <row r="1005" spans="5:7" x14ac:dyDescent="0.35">
      <c r="E1005">
        <v>980</v>
      </c>
      <c r="F1005" s="3">
        <v>486.54598921859315</v>
      </c>
      <c r="G1005" s="4">
        <v>0.23321889647314809</v>
      </c>
    </row>
    <row r="1006" spans="5:7" x14ac:dyDescent="0.35">
      <c r="E1006">
        <v>981</v>
      </c>
      <c r="F1006" s="3">
        <v>507.92883282466209</v>
      </c>
      <c r="G1006" s="4">
        <v>0.23806496330377258</v>
      </c>
    </row>
    <row r="1007" spans="5:7" x14ac:dyDescent="0.35">
      <c r="E1007">
        <v>982</v>
      </c>
      <c r="F1007" s="3">
        <v>466.23751092154134</v>
      </c>
      <c r="G1007" s="4">
        <v>0.22634466455107205</v>
      </c>
    </row>
    <row r="1008" spans="5:7" x14ac:dyDescent="0.35">
      <c r="E1008">
        <v>983</v>
      </c>
      <c r="F1008" s="3">
        <v>380.33467858965219</v>
      </c>
      <c r="G1008" s="4">
        <v>0.21932199887307768</v>
      </c>
    </row>
    <row r="1009" spans="5:7" x14ac:dyDescent="0.35">
      <c r="E1009">
        <v>984</v>
      </c>
      <c r="F1009" s="3">
        <v>227.74479469335176</v>
      </c>
      <c r="G1009" s="4">
        <v>0.16617637488932058</v>
      </c>
    </row>
    <row r="1010" spans="5:7" x14ac:dyDescent="0.35">
      <c r="E1010">
        <v>985</v>
      </c>
      <c r="F1010" s="3">
        <v>271.92112259527153</v>
      </c>
      <c r="G1010" s="4">
        <v>0.17896256875742922</v>
      </c>
    </row>
    <row r="1011" spans="5:7" x14ac:dyDescent="0.35">
      <c r="E1011">
        <v>986</v>
      </c>
      <c r="F1011" s="3">
        <v>568.59903066923039</v>
      </c>
      <c r="G1011" s="4">
        <v>0.2447376745931098</v>
      </c>
    </row>
    <row r="1012" spans="5:7" x14ac:dyDescent="0.35">
      <c r="E1012">
        <v>987</v>
      </c>
      <c r="F1012" s="3">
        <v>304.73904652911801</v>
      </c>
      <c r="G1012" s="4">
        <v>0.18328383472344689</v>
      </c>
    </row>
    <row r="1013" spans="5:7" x14ac:dyDescent="0.35">
      <c r="E1013">
        <v>988</v>
      </c>
      <c r="F1013" s="3">
        <v>398.44027714369759</v>
      </c>
      <c r="G1013" s="4">
        <v>0.20652872507091224</v>
      </c>
    </row>
    <row r="1014" spans="5:7" x14ac:dyDescent="0.35">
      <c r="E1014">
        <v>989</v>
      </c>
      <c r="F1014" s="3">
        <v>356.00440180919691</v>
      </c>
      <c r="G1014" s="4">
        <v>0.20676510921954949</v>
      </c>
    </row>
    <row r="1015" spans="5:7" x14ac:dyDescent="0.35">
      <c r="E1015">
        <v>990</v>
      </c>
      <c r="F1015" s="3">
        <v>551.80399425943006</v>
      </c>
      <c r="G1015" s="4">
        <v>0.23623308260787956</v>
      </c>
    </row>
    <row r="1016" spans="5:7" x14ac:dyDescent="0.35">
      <c r="E1016">
        <v>991</v>
      </c>
      <c r="F1016" s="3">
        <v>374.5166473823906</v>
      </c>
      <c r="G1016" s="4">
        <v>0.20208497855892049</v>
      </c>
    </row>
    <row r="1017" spans="5:7" x14ac:dyDescent="0.35">
      <c r="E1017">
        <v>992</v>
      </c>
      <c r="F1017" s="3">
        <v>556.45671591309724</v>
      </c>
      <c r="G1017" s="4">
        <v>0.26314990327442889</v>
      </c>
    </row>
    <row r="1018" spans="5:7" x14ac:dyDescent="0.35">
      <c r="E1018">
        <v>993</v>
      </c>
      <c r="F1018" s="3">
        <v>468.43289939363331</v>
      </c>
      <c r="G1018" s="4">
        <v>0.22577650156792006</v>
      </c>
    </row>
    <row r="1019" spans="5:7" x14ac:dyDescent="0.35">
      <c r="E1019">
        <v>994</v>
      </c>
      <c r="F1019" s="3">
        <v>285.36514015687862</v>
      </c>
      <c r="G1019" s="4">
        <v>0.18454060939647765</v>
      </c>
    </row>
    <row r="1020" spans="5:7" x14ac:dyDescent="0.35">
      <c r="E1020">
        <v>995</v>
      </c>
      <c r="F1020" s="3">
        <v>418.98622743612259</v>
      </c>
      <c r="G1020" s="4">
        <v>0.21793013185221133</v>
      </c>
    </row>
    <row r="1021" spans="5:7" x14ac:dyDescent="0.35">
      <c r="E1021">
        <v>996</v>
      </c>
      <c r="F1021" s="3">
        <v>440.52642888892024</v>
      </c>
      <c r="G1021" s="4">
        <v>0.21721806112983799</v>
      </c>
    </row>
    <row r="1022" spans="5:7" x14ac:dyDescent="0.35">
      <c r="E1022">
        <v>997</v>
      </c>
      <c r="F1022" s="3">
        <v>438.5079585941719</v>
      </c>
      <c r="G1022" s="4">
        <v>0.23322917921997344</v>
      </c>
    </row>
    <row r="1023" spans="5:7" x14ac:dyDescent="0.35">
      <c r="E1023">
        <v>998</v>
      </c>
      <c r="F1023" s="3">
        <v>525.11139369525426</v>
      </c>
      <c r="G1023" s="4">
        <v>0.24677155634163506</v>
      </c>
    </row>
    <row r="1024" spans="5:7" x14ac:dyDescent="0.35">
      <c r="E1024">
        <v>999</v>
      </c>
      <c r="F1024" s="3">
        <v>465.43116325860638</v>
      </c>
      <c r="G1024" s="4">
        <v>0.24602061908229533</v>
      </c>
    </row>
    <row r="1025" spans="5:7" x14ac:dyDescent="0.35">
      <c r="E1025">
        <v>1000</v>
      </c>
      <c r="F1025" s="3">
        <v>451.64573662290491</v>
      </c>
      <c r="G1025" s="4">
        <v>0.23315992793683238</v>
      </c>
    </row>
  </sheetData>
  <mergeCells count="2">
    <mergeCell ref="B3:C3"/>
    <mergeCell ref="I3:K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</xdr:col>
                    <xdr:colOff>1720850</xdr:colOff>
                    <xdr:row>4</xdr:row>
                    <xdr:rowOff>139700</xdr:rowOff>
                  </from>
                  <to>
                    <xdr:col>2</xdr:col>
                    <xdr:colOff>425450</xdr:colOff>
                    <xdr:row>6</xdr:row>
                    <xdr:rowOff>82550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3ed33d-981f-40e9-b4ca-0e7c031e8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85A9092792524385CD7AC7B748B512" ma:contentTypeVersion="5" ma:contentTypeDescription="Create a new document." ma:contentTypeScope="" ma:versionID="98ece96c3b9a00caa0e587f9cd6226ef">
  <xsd:schema xmlns:xsd="http://www.w3.org/2001/XMLSchema" xmlns:xs="http://www.w3.org/2001/XMLSchema" xmlns:p="http://schemas.microsoft.com/office/2006/metadata/properties" xmlns:ns3="713ed33d-981f-40e9-b4ca-0e7c031e8c28" targetNamespace="http://schemas.microsoft.com/office/2006/metadata/properties" ma:root="true" ma:fieldsID="611fd6c04bc59b4e4c4e4897118ab70e" ns3:_="">
    <xsd:import namespace="713ed33d-981f-40e9-b4ca-0e7c031e8c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ed33d-981f-40e9-b4ca-0e7c031e8c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301ABD-AB87-4D69-80F0-0AB429D8A420}">
  <ds:schemaRefs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713ed33d-981f-40e9-b4ca-0e7c031e8c2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DBEC061-822D-4170-9439-530B3FCD3E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347D8D-4084-4298-95F2-A3ACFA6DC0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3ed33d-981f-40e9-b4ca-0e7c031e8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mani</dc:creator>
  <cp:lastModifiedBy>MEGALA MANI</cp:lastModifiedBy>
  <dcterms:created xsi:type="dcterms:W3CDTF">2025-11-18T20:14:00Z</dcterms:created>
  <dcterms:modified xsi:type="dcterms:W3CDTF">2026-05-30T15:39:24Z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0x0101007385A9092792524385CD7AC7B748B512</vt:lpwstr>
  </property>
</Properties>
</file>